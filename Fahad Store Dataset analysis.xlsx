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108" yWindow="-108" windowWidth="19416" windowHeight="11016" activeTab="4"/>
  </bookViews>
  <sheets>
    <sheet name="retail_sales_Dashboard" sheetId="1" r:id="rId1"/>
    <sheet name="Analysis" sheetId="5" r:id="rId2"/>
    <sheet name="Analysis 2" sheetId="6" r:id="rId3"/>
    <sheet name="Color and Business quesition" sheetId="2" r:id="rId4"/>
    <sheet name="Dashboard" sheetId="3" r:id="rId5"/>
  </sheets>
  <definedNames>
    <definedName name="Slicer_Months">#N/A</definedName>
    <definedName name="Slicer_Region">#N/A</definedName>
    <definedName name="Slicer_Sales_Rep">#N/A</definedName>
    <definedName name="total_products">Analysis!$J$4</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7" i="6" l="1"/>
  <c r="E47" i="6"/>
  <c r="D48" i="6"/>
  <c r="E48" i="6"/>
  <c r="D49" i="6"/>
  <c r="E49" i="6"/>
  <c r="D50" i="6"/>
  <c r="E50" i="6"/>
  <c r="E46" i="6"/>
  <c r="D46" i="6"/>
  <c r="D36" i="6"/>
  <c r="E36" i="6"/>
  <c r="D37" i="6"/>
  <c r="E37" i="6"/>
  <c r="D38" i="6"/>
  <c r="E38" i="6"/>
  <c r="D39" i="6"/>
  <c r="E39" i="6"/>
  <c r="D40" i="6"/>
  <c r="E40" i="6"/>
  <c r="D41" i="6"/>
  <c r="E41" i="6"/>
  <c r="D42" i="6"/>
  <c r="E42" i="6"/>
  <c r="E35" i="6"/>
  <c r="D35" i="6"/>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K10" i="6"/>
  <c r="D19" i="6"/>
  <c r="E19" i="6"/>
  <c r="D20" i="6"/>
  <c r="E20" i="6"/>
  <c r="D21" i="6"/>
  <c r="E21" i="6"/>
  <c r="D22" i="6"/>
  <c r="E22" i="6"/>
  <c r="D23" i="6"/>
  <c r="E23" i="6"/>
  <c r="D24" i="6"/>
  <c r="E24" i="6"/>
  <c r="D25" i="6"/>
  <c r="E25" i="6"/>
  <c r="D26" i="6"/>
  <c r="E26" i="6"/>
  <c r="D27" i="6"/>
  <c r="E27" i="6"/>
  <c r="D28" i="6"/>
  <c r="E28" i="6"/>
  <c r="D29" i="6"/>
  <c r="E29" i="6"/>
  <c r="D30" i="6"/>
  <c r="E30" i="6"/>
  <c r="D31" i="6"/>
  <c r="E31" i="6"/>
  <c r="K23" i="6" l="1"/>
  <c r="G47" i="6"/>
  <c r="I47" i="6" s="1"/>
  <c r="G46" i="6"/>
  <c r="G48" i="6"/>
  <c r="G20" i="6"/>
  <c r="G38" i="6"/>
  <c r="G40" i="6"/>
  <c r="I36" i="6"/>
  <c r="I37" i="6"/>
  <c r="G39" i="6"/>
  <c r="G36" i="6"/>
  <c r="G37" i="6"/>
  <c r="G42" i="6"/>
  <c r="G41" i="6"/>
  <c r="K21" i="6"/>
  <c r="K22" i="6"/>
  <c r="G31" i="6"/>
  <c r="F26" i="6"/>
  <c r="G23" i="6"/>
  <c r="G29" i="6"/>
  <c r="G21" i="6"/>
  <c r="F25" i="6"/>
  <c r="G28" i="6"/>
  <c r="F20" i="6"/>
  <c r="F24" i="6"/>
  <c r="G27" i="6"/>
  <c r="F31" i="6"/>
  <c r="F23" i="6"/>
  <c r="G26" i="6"/>
  <c r="F30" i="6"/>
  <c r="F22" i="6"/>
  <c r="G25" i="6"/>
  <c r="F29" i="6"/>
  <c r="F21" i="6"/>
  <c r="G24" i="6"/>
  <c r="F28" i="6"/>
  <c r="F27" i="6"/>
  <c r="G30" i="6"/>
  <c r="G22" i="6"/>
  <c r="K12" i="6"/>
  <c r="K11" i="6"/>
  <c r="D11" i="6"/>
  <c r="E11" i="6"/>
  <c r="D12" i="6"/>
  <c r="E12" i="6"/>
  <c r="C12" i="6" s="1"/>
  <c r="D13" i="6"/>
  <c r="E13" i="6"/>
  <c r="C13" i="6" s="1"/>
  <c r="D14" i="6"/>
  <c r="E14" i="6"/>
  <c r="C14" i="6" s="1"/>
  <c r="D15" i="6"/>
  <c r="E15" i="6"/>
  <c r="C15" i="6" s="1"/>
  <c r="E10" i="6"/>
  <c r="D10" i="6"/>
  <c r="K5" i="6"/>
  <c r="K3" i="6"/>
  <c r="K4" i="6" s="1"/>
  <c r="H47" i="6" l="1"/>
  <c r="F37" i="6"/>
  <c r="F36" i="6"/>
  <c r="F42" i="6"/>
  <c r="I48" i="6"/>
  <c r="H48" i="6"/>
  <c r="F39" i="6"/>
  <c r="F41" i="6"/>
  <c r="F40" i="6"/>
  <c r="F38" i="6"/>
  <c r="K26" i="6"/>
  <c r="K24" i="6"/>
  <c r="K27" i="6"/>
  <c r="K25" i="6"/>
  <c r="K16" i="6"/>
  <c r="C11" i="6"/>
  <c r="F11" i="6"/>
  <c r="K15" i="6"/>
  <c r="K13" i="6"/>
  <c r="K14" i="6"/>
  <c r="G12" i="6"/>
  <c r="G11" i="6"/>
  <c r="G15" i="6"/>
  <c r="G14" i="6"/>
  <c r="G13" i="6"/>
  <c r="F12" i="6"/>
  <c r="F15" i="6"/>
  <c r="F13" i="6"/>
  <c r="F14" i="6"/>
  <c r="K6" i="6"/>
  <c r="J8" i="6" s="1"/>
  <c r="D2" i="6"/>
  <c r="E4" i="6"/>
  <c r="H3" i="6"/>
  <c r="H4" i="6"/>
  <c r="H5" i="6"/>
  <c r="H6" i="6"/>
  <c r="D3" i="6"/>
  <c r="E3" i="6"/>
  <c r="D4" i="6"/>
  <c r="D5" i="6"/>
  <c r="E5" i="6"/>
  <c r="D6" i="6"/>
  <c r="E6" i="6"/>
  <c r="E2" i="6"/>
  <c r="C23" i="5"/>
  <c r="B23" i="5"/>
  <c r="B24" i="5"/>
  <c r="C24" i="5"/>
  <c r="A24" i="5" s="1"/>
  <c r="B25" i="5"/>
  <c r="C25" i="5"/>
  <c r="A25" i="5" s="1"/>
  <c r="B26" i="5"/>
  <c r="C26" i="5"/>
  <c r="A26" i="5" s="1"/>
  <c r="B27" i="5"/>
  <c r="C27" i="5"/>
  <c r="A27" i="5" s="1"/>
  <c r="B28" i="5"/>
  <c r="C28" i="5"/>
  <c r="A28" i="5" s="1"/>
  <c r="B29" i="5"/>
  <c r="C29" i="5"/>
  <c r="A29" i="5" s="1"/>
  <c r="B30" i="5"/>
  <c r="C30" i="5"/>
  <c r="A30" i="5" s="1"/>
  <c r="B31" i="5"/>
  <c r="C31" i="5"/>
  <c r="A31" i="5" s="1"/>
  <c r="B32" i="5"/>
  <c r="C32" i="5"/>
  <c r="A32" i="5" s="1"/>
  <c r="B33" i="5"/>
  <c r="C33" i="5"/>
  <c r="A33" i="5" s="1"/>
  <c r="J29" i="6" l="1"/>
  <c r="J18" i="6"/>
  <c r="F4" i="6"/>
  <c r="F6" i="6"/>
  <c r="F3" i="6"/>
  <c r="F5" i="6"/>
  <c r="E25" i="5"/>
  <c r="G25" i="5" s="1"/>
  <c r="E24" i="5"/>
  <c r="G24" i="5" l="1"/>
  <c r="D28" i="5"/>
  <c r="D25" i="5"/>
  <c r="D31" i="5"/>
  <c r="D26" i="5"/>
  <c r="D29" i="5"/>
  <c r="D24" i="5"/>
  <c r="D33" i="5"/>
  <c r="D32" i="5"/>
  <c r="D27" i="5"/>
  <c r="D30" i="5"/>
  <c r="F29" i="5"/>
  <c r="J4" i="5"/>
  <c r="G26" i="5" s="1"/>
  <c r="I24" i="5" l="1"/>
  <c r="B7" i="5"/>
  <c r="C7" i="5"/>
  <c r="D7" i="5"/>
  <c r="F27" i="5" s="1"/>
  <c r="E7" i="5"/>
  <c r="C6" i="5"/>
  <c r="D6" i="5"/>
  <c r="E6" i="5"/>
  <c r="B6" i="5"/>
</calcChain>
</file>

<file path=xl/sharedStrings.xml><?xml version="1.0" encoding="utf-8"?>
<sst xmlns="http://schemas.openxmlformats.org/spreadsheetml/2006/main" count="4121" uniqueCount="101">
  <si>
    <t>Date</t>
  </si>
  <si>
    <t>Product</t>
  </si>
  <si>
    <t>Category</t>
  </si>
  <si>
    <t>Region</t>
  </si>
  <si>
    <t>Sales Rep</t>
  </si>
  <si>
    <t>Quantity</t>
  </si>
  <si>
    <t>Unit Price</t>
  </si>
  <si>
    <t>Sales Amount</t>
  </si>
  <si>
    <t>Milk</t>
  </si>
  <si>
    <t>Food</t>
  </si>
  <si>
    <t>Port Harcourt</t>
  </si>
  <si>
    <t>David</t>
  </si>
  <si>
    <t>Tomato Paste</t>
  </si>
  <si>
    <t>Groceries</t>
  </si>
  <si>
    <t>Soft Drink</t>
  </si>
  <si>
    <t>Abuja</t>
  </si>
  <si>
    <t>Ibrahim</t>
  </si>
  <si>
    <t>Cooking Oil (1L)</t>
  </si>
  <si>
    <t>Lagos</t>
  </si>
  <si>
    <t>Chioma</t>
  </si>
  <si>
    <t>Chicken</t>
  </si>
  <si>
    <t>Kano</t>
  </si>
  <si>
    <t>Amina</t>
  </si>
  <si>
    <t>Noodles Pack</t>
  </si>
  <si>
    <t>Beverage</t>
  </si>
  <si>
    <t>Rice (5kg)</t>
  </si>
  <si>
    <t>John</t>
  </si>
  <si>
    <t>Bread</t>
  </si>
  <si>
    <t>Sugar</t>
  </si>
  <si>
    <t>Eggs (crate)</t>
  </si>
  <si>
    <t>Where is the money coming from?</t>
  </si>
  <si>
    <t>Which product should we focus on?</t>
  </si>
  <si>
    <t>Which region is underperforming?</t>
  </si>
  <si>
    <t>Who are the best/worst sales reps?</t>
  </si>
  <si>
    <t>What is the trend over time?</t>
  </si>
  <si>
    <t>When do we sell the most?</t>
  </si>
  <si>
    <t>Where should we invest next?</t>
  </si>
  <si>
    <t>KPIs insights</t>
  </si>
  <si>
    <t>Average of Sales Amount2</t>
  </si>
  <si>
    <t xml:space="preserve"> Product</t>
  </si>
  <si>
    <t xml:space="preserve">Quantity </t>
  </si>
  <si>
    <t xml:space="preserve">Sales Amount </t>
  </si>
  <si>
    <t>Row Labels</t>
  </si>
  <si>
    <t>Count of Product</t>
  </si>
  <si>
    <t>number of products sold</t>
  </si>
  <si>
    <t xml:space="preserve">TOP 2 HIGHEST  PRODUCTS </t>
  </si>
  <si>
    <t>Name of Products</t>
  </si>
  <si>
    <t xml:space="preserve">TOTAL SALES </t>
  </si>
  <si>
    <t>TOP PRODUCTS SALES PERCENTAEG</t>
  </si>
  <si>
    <t xml:space="preserve">WHICH PRODUCT DO WE FOCUS ON </t>
  </si>
  <si>
    <t>top 2 products</t>
  </si>
  <si>
    <t>formatting</t>
  </si>
  <si>
    <t>Underperforming Region</t>
  </si>
  <si>
    <t>Other Sales</t>
  </si>
  <si>
    <t>lowest region</t>
  </si>
  <si>
    <t>value</t>
  </si>
  <si>
    <t>All Sales</t>
  </si>
  <si>
    <t>% Contribution</t>
  </si>
  <si>
    <t>region</t>
  </si>
  <si>
    <t>WHO ARE THE WORST SALES REP</t>
  </si>
  <si>
    <t xml:space="preserve"> Sales Amount    </t>
  </si>
  <si>
    <t>lowest performer</t>
  </si>
  <si>
    <t>Highest Performer</t>
  </si>
  <si>
    <t>bottom</t>
  </si>
  <si>
    <t>top</t>
  </si>
  <si>
    <t>all sales</t>
  </si>
  <si>
    <t>worst sales rep</t>
  </si>
  <si>
    <t>best sales rep</t>
  </si>
  <si>
    <t>worst sales rep  % contribution</t>
  </si>
  <si>
    <t>best sales rep % contribution</t>
  </si>
  <si>
    <t>Jan</t>
  </si>
  <si>
    <t>Feb</t>
  </si>
  <si>
    <t>Mar</t>
  </si>
  <si>
    <t>Apr</t>
  </si>
  <si>
    <t>May</t>
  </si>
  <si>
    <t>Jun</t>
  </si>
  <si>
    <t>Jul</t>
  </si>
  <si>
    <t>Aug</t>
  </si>
  <si>
    <t>Sep</t>
  </si>
  <si>
    <t>Oct</t>
  </si>
  <si>
    <t>Nov</t>
  </si>
  <si>
    <t>Dec</t>
  </si>
  <si>
    <t>Month</t>
  </si>
  <si>
    <t>Revenue Generated</t>
  </si>
  <si>
    <t>Top performing month</t>
  </si>
  <si>
    <t>Lowest performing month</t>
  </si>
  <si>
    <t>BOTTOM</t>
  </si>
  <si>
    <t>TOP</t>
  </si>
  <si>
    <t>ALL SALES</t>
  </si>
  <si>
    <t>TOP MONTH</t>
  </si>
  <si>
    <t>LOWEST MONTH</t>
  </si>
  <si>
    <t>TOP MONTH % CONTRIBUTION</t>
  </si>
  <si>
    <t>LOWEST MONTH % CONTRIBUTION</t>
  </si>
  <si>
    <t>days</t>
  </si>
  <si>
    <t>Days</t>
  </si>
  <si>
    <t xml:space="preserve">Sales Amount       </t>
  </si>
  <si>
    <t>Top Performing days</t>
  </si>
  <si>
    <t>lowest performing day</t>
  </si>
  <si>
    <t xml:space="preserve">Revenue Generated   </t>
  </si>
  <si>
    <t xml:space="preserve">max region </t>
  </si>
  <si>
    <t>min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</si>
</sst>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4" formatCode="[$₦-468]\ #,##0.00"/>
    <numFmt numFmtId="165" formatCode="[$₦-466]\ #,##0.00"/>
    <numFmt numFmtId="166" formatCode="[&gt;=1000000]\₦#,##0.0,,&quot;M&quot;;[&gt;=1000]\₦#,##0.0,&quot;K&quot;;\₦#,##0"/>
    <numFmt numFmtId="167" formatCode="_(* #,##0_);_(* \(#,##0\);_(* &quot;-&quot;??_);_(@_)"/>
    <numFmt numFmtId="168" formatCode="[$₦-466]\ #,##0"/>
    <numFmt numFmtId="169" formatCode="[$₦-468]\ #,##0"/>
    <numFmt numFmtId="170" formatCode="0.0"/>
    <numFmt numFmtId="171" formatCode="0.0%"/>
    <numFmt numFmtId="172" formatCode="ddd"/>
    <numFmt numFmtId="173" formatCode="[$₦-46A]#,##0"/>
    <numFmt numFmtId="174" formatCode="[$₦-469]\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0"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42" applyNumberFormat="1" applyFont="1"/>
    <xf numFmtId="0" fontId="0" fillId="0" borderId="0" xfId="0" pivotButton="1"/>
    <xf numFmtId="0" fontId="0" fillId="0" borderId="0" xfId="0" applyAlignment="1">
      <alignment horizontal="left"/>
    </xf>
    <xf numFmtId="168" fontId="0" fillId="0" borderId="0" xfId="0" applyNumberFormat="1"/>
    <xf numFmtId="9" fontId="0" fillId="0" borderId="0" xfId="0" applyNumberFormat="1"/>
    <xf numFmtId="169" fontId="0" fillId="0" borderId="0" xfId="0" applyNumberFormat="1"/>
    <xf numFmtId="170" fontId="0" fillId="0" borderId="0" xfId="0" applyNumberFormat="1"/>
    <xf numFmtId="10" fontId="0" fillId="0" borderId="0" xfId="0" applyNumberFormat="1"/>
    <xf numFmtId="171" fontId="0" fillId="0" borderId="0" xfId="0" applyNumberFormat="1"/>
    <xf numFmtId="167" fontId="0" fillId="0" borderId="0" xfId="0" applyNumberFormat="1"/>
    <xf numFmtId="166" fontId="0" fillId="0" borderId="0" xfId="42" applyNumberFormat="1" applyFont="1"/>
    <xf numFmtId="3" fontId="0" fillId="0" borderId="0" xfId="0" applyNumberFormat="1"/>
    <xf numFmtId="172" fontId="0" fillId="0" borderId="0" xfId="0" applyNumberFormat="1"/>
    <xf numFmtId="172" fontId="0" fillId="0" borderId="0" xfId="0" applyNumberFormat="1" applyAlignment="1">
      <alignment horizontal="left"/>
    </xf>
    <xf numFmtId="173" fontId="0" fillId="0" borderId="0" xfId="0" applyNumberFormat="1"/>
    <xf numFmtId="174"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 formatCode="0"/>
    </dxf>
    <dxf>
      <numFmt numFmtId="35" formatCode="_(* #,##0.00_);_(* \(#,##0.00\);_(* &quot;-&quot;??_);_(@_)"/>
    </dxf>
    <dxf>
      <numFmt numFmtId="177" formatCode="_(* #,##0.0_);_(* \(#,##0.0\);_(* &quot;-&quot;??_);_(@_)"/>
    </dxf>
    <dxf>
      <numFmt numFmtId="167" formatCode="_(* #,##0_);_(* \(#,##0\);_(* &quot;-&quot;??_);_(@_)"/>
    </dxf>
    <dxf>
      <numFmt numFmtId="176" formatCode="&quot;$&quot;#,##0.00"/>
    </dxf>
    <dxf>
      <numFmt numFmtId="165" formatCode="[$₦-466]\ #,##0.00"/>
    </dxf>
    <dxf>
      <numFmt numFmtId="175" formatCode="[$₦-466]\ #,##0.0"/>
    </dxf>
    <dxf>
      <numFmt numFmtId="168" formatCode="[$₦-466]\ #,##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8" formatCode="[$₦-466]\ #,##0"/>
    </dxf>
    <dxf>
      <numFmt numFmtId="175" formatCode="[$₦-466]\ #,##0.0"/>
    </dxf>
    <dxf>
      <numFmt numFmtId="165" formatCode="[$₦-466]\ #,##0.00"/>
    </dxf>
    <dxf>
      <numFmt numFmtId="176" formatCode="&quot;$&quot;#,##0.00"/>
    </dxf>
    <dxf>
      <numFmt numFmtId="167" formatCode="_(* #,##0_);_(* \(#,##0\);_(* &quot;-&quot;??_);_(@_)"/>
    </dxf>
    <dxf>
      <numFmt numFmtId="177" formatCode="_(* #,##0.0_);_(* \(#,##0.0\);_(* &quot;-&quot;??_);_(@_)"/>
    </dxf>
    <dxf>
      <numFmt numFmtId="35" formatCode="_(* #,##0.00_);_(* \(#,##0.00\);_(* &quot;-&quot;??_);_(@_)"/>
    </dxf>
    <dxf>
      <numFmt numFmtId="1" formatCode="0"/>
    </dxf>
    <dxf>
      <numFmt numFmtId="172" formatCode="ddd"/>
    </dxf>
    <dxf>
      <numFmt numFmtId="165" formatCode="[$₦-466]\ #,##0.00"/>
    </dxf>
    <dxf>
      <numFmt numFmtId="164" formatCode="[$₦-468]\ #,##0.00"/>
    </dxf>
    <dxf>
      <numFmt numFmtId="19" formatCode="m/d/yyyy"/>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sz val="14"/>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sz val="14"/>
        <color theme="1"/>
      </font>
      <fill>
        <patternFill patternType="solid">
          <fgColor theme="0"/>
          <bgColor theme="0"/>
        </patternFill>
      </fill>
      <border diagonalUp="0" diagonalDown="0">
        <left/>
        <right/>
        <top/>
        <bottom/>
        <vertical/>
        <horizontal/>
      </border>
    </dxf>
  </dxfs>
  <tableStyles count="3" defaultTableStyle="TableStyleMedium2" defaultPivotStyle="PivotStyleLight16">
    <tableStyle name="MY MONTH SLICER" pivot="0" table="0" count="10">
      <tableStyleElement type="wholeTable" dxfId="29"/>
      <tableStyleElement type="headerRow" dxfId="28"/>
    </tableStyle>
    <tableStyle name="SlicerStyleLight1 2" pivot="0" table="0" count="10">
      <tableStyleElement type="wholeTable" dxfId="27"/>
      <tableStyleElement type="headerRow" dxfId="26"/>
    </tableStyle>
    <tableStyle name="SlicerStyleLight1 2 2" pivot="0" table="0" count="10">
      <tableStyleElement type="wholeTable" dxfId="25"/>
      <tableStyleElement type="headerRow" dxfId="24"/>
    </tableStyle>
  </tableStyles>
  <colors>
    <mruColors>
      <color rgb="FF86988F"/>
      <color rgb="FF800043"/>
      <color rgb="FF007F63"/>
      <color rgb="FF00112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patternFill>
          </fill>
          <border diagonalUp="0" diagonalDown="0">
            <left/>
            <right/>
            <top/>
            <bottom/>
            <vertical/>
            <horizontal/>
          </border>
        </dxf>
        <dxf>
          <font>
            <color rgb="FF000000"/>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24994659260841701"/>
              <bgColor theme="4" tint="0.79992065187536243"/>
            </patternFill>
          </fill>
          <border diagonalUp="0" diagonalDown="0">
            <left/>
            <right/>
            <top/>
            <bottom/>
            <vertical/>
            <horizontal/>
          </border>
        </dxf>
        <dxf>
          <font>
            <color rgb="FF000000"/>
          </font>
          <fill>
            <patternFill patternType="solid">
              <fgColor auto="1"/>
              <bgColor theme="0"/>
            </patternFill>
          </fill>
          <border diagonalUp="0" diagonalDown="0">
            <left/>
            <right/>
            <top/>
            <bottom/>
            <vertical/>
            <horizontal/>
          </border>
        </dxf>
        <dxf>
          <font>
            <color rgb="FF828282"/>
          </font>
          <fill>
            <patternFill patternType="solid">
              <fgColor rgb="FFFFFFFF"/>
              <bgColor theme="0"/>
            </patternFill>
          </fill>
          <border diagonalUp="0" diagonalDown="0">
            <left/>
            <right/>
            <top/>
            <bottom/>
            <vertical/>
            <horizontal/>
          </border>
        </dxf>
        <dxf>
          <font>
            <color rgb="FF000000"/>
          </font>
          <fill>
            <patternFill patternType="solid">
              <fgColor auto="1"/>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Y MONTH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72496069256258"/>
          <c:y val="2.5863735142107578E-2"/>
          <c:w val="0.77054526741684037"/>
          <c:h val="0.81719044340815172"/>
        </c:manualLayout>
      </c:layout>
      <c:barChart>
        <c:barDir val="bar"/>
        <c:grouping val="clustered"/>
        <c:varyColors val="0"/>
        <c:ser>
          <c:idx val="0"/>
          <c:order val="0"/>
          <c:tx>
            <c:strRef>
              <c:f>Analysis!$C$23</c:f>
              <c:strCache>
                <c:ptCount val="1"/>
                <c:pt idx="0">
                  <c:v>Sales Amount </c:v>
                </c:pt>
              </c:strCache>
            </c:strRef>
          </c:tx>
          <c:spPr>
            <a:solidFill>
              <a:schemeClr val="bg2">
                <a:lumMod val="90000"/>
              </a:schemeClr>
            </a:solidFill>
            <a:ln>
              <a:noFill/>
            </a:ln>
            <a:effectLst/>
          </c:spPr>
          <c:invertIfNegative val="0"/>
          <c:cat>
            <c:strRef>
              <c:f>Analysis!$B$24:$B$33</c:f>
              <c:strCache>
                <c:ptCount val="10"/>
                <c:pt idx="0">
                  <c:v>Rice (5kg)</c:v>
                </c:pt>
                <c:pt idx="1">
                  <c:v>Chicken</c:v>
                </c:pt>
                <c:pt idx="2">
                  <c:v>Eggs (crate)</c:v>
                </c:pt>
                <c:pt idx="3">
                  <c:v>Cooking Oil (1L)</c:v>
                </c:pt>
                <c:pt idx="4">
                  <c:v>Noodles Pack</c:v>
                </c:pt>
                <c:pt idx="5">
                  <c:v>Milk</c:v>
                </c:pt>
                <c:pt idx="6">
                  <c:v>Sugar</c:v>
                </c:pt>
                <c:pt idx="7">
                  <c:v>Tomato Paste</c:v>
                </c:pt>
                <c:pt idx="8">
                  <c:v>Bread</c:v>
                </c:pt>
                <c:pt idx="9">
                  <c:v>Soft Drink</c:v>
                </c:pt>
              </c:strCache>
            </c:strRef>
          </c:cat>
          <c:val>
            <c:numRef>
              <c:f>Analysis!$C$24:$C$33</c:f>
              <c:numCache>
                <c:formatCode>[$₦-468]\ #,##0</c:formatCode>
                <c:ptCount val="10"/>
                <c:pt idx="0">
                  <c:v>15608512.069999995</c:v>
                </c:pt>
                <c:pt idx="1">
                  <c:v>4882611.54</c:v>
                </c:pt>
                <c:pt idx="2">
                  <c:v>2998781.1099999989</c:v>
                </c:pt>
                <c:pt idx="3">
                  <c:v>2922801.8200000008</c:v>
                </c:pt>
                <c:pt idx="4">
                  <c:v>1441356.64</c:v>
                </c:pt>
                <c:pt idx="5">
                  <c:v>1433399.3499999994</c:v>
                </c:pt>
                <c:pt idx="6">
                  <c:v>894547.28000000014</c:v>
                </c:pt>
                <c:pt idx="7">
                  <c:v>882343.83000000007</c:v>
                </c:pt>
                <c:pt idx="8">
                  <c:v>799560.07</c:v>
                </c:pt>
                <c:pt idx="9">
                  <c:v>559366.27000000014</c:v>
                </c:pt>
              </c:numCache>
            </c:numRef>
          </c:val>
          <c:extLst>
            <c:ext xmlns:c16="http://schemas.microsoft.com/office/drawing/2014/chart" uri="{C3380CC4-5D6E-409C-BE32-E72D297353CC}">
              <c16:uniqueId val="{00000000-1963-4319-AE06-617DF030440C}"/>
            </c:ext>
          </c:extLst>
        </c:ser>
        <c:ser>
          <c:idx val="1"/>
          <c:order val="1"/>
          <c:tx>
            <c:strRef>
              <c:f>Analysis!$D$23</c:f>
              <c:strCache>
                <c:ptCount val="1"/>
                <c:pt idx="0">
                  <c:v>top 2 products</c:v>
                </c:pt>
              </c:strCache>
            </c:strRef>
          </c:tx>
          <c:spPr>
            <a:solidFill>
              <a:schemeClr val="accent6">
                <a:lumMod val="60000"/>
                <a:lumOff val="40000"/>
              </a:schemeClr>
            </a:solidFill>
            <a:ln>
              <a:noFill/>
            </a:ln>
            <a:effectLst/>
          </c:spPr>
          <c:invertIfNegative val="0"/>
          <c:cat>
            <c:strRef>
              <c:f>Analysis!$B$24:$B$33</c:f>
              <c:strCache>
                <c:ptCount val="10"/>
                <c:pt idx="0">
                  <c:v>Rice (5kg)</c:v>
                </c:pt>
                <c:pt idx="1">
                  <c:v>Chicken</c:v>
                </c:pt>
                <c:pt idx="2">
                  <c:v>Eggs (crate)</c:v>
                </c:pt>
                <c:pt idx="3">
                  <c:v>Cooking Oil (1L)</c:v>
                </c:pt>
                <c:pt idx="4">
                  <c:v>Noodles Pack</c:v>
                </c:pt>
                <c:pt idx="5">
                  <c:v>Milk</c:v>
                </c:pt>
                <c:pt idx="6">
                  <c:v>Sugar</c:v>
                </c:pt>
                <c:pt idx="7">
                  <c:v>Tomato Paste</c:v>
                </c:pt>
                <c:pt idx="8">
                  <c:v>Bread</c:v>
                </c:pt>
                <c:pt idx="9">
                  <c:v>Soft Drink</c:v>
                </c:pt>
              </c:strCache>
            </c:strRef>
          </c:cat>
          <c:val>
            <c:numRef>
              <c:f>Analysis!$D$24:$D$33</c:f>
              <c:numCache>
                <c:formatCode>[$₦-468]\ #,##0</c:formatCode>
                <c:ptCount val="10"/>
                <c:pt idx="0">
                  <c:v>15608512.069999995</c:v>
                </c:pt>
                <c:pt idx="1">
                  <c:v>4882611.54</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963-4319-AE06-617DF030440C}"/>
            </c:ext>
          </c:extLst>
        </c:ser>
        <c:ser>
          <c:idx val="2"/>
          <c:order val="2"/>
          <c:tx>
            <c:strRef>
              <c:f>Analysis!$A$23</c:f>
              <c:strCache>
                <c:ptCount val="1"/>
                <c:pt idx="0">
                  <c:v>formatting</c:v>
                </c:pt>
              </c:strCache>
            </c:strRef>
          </c:tx>
          <c:spPr>
            <a:solidFill>
              <a:schemeClr val="bg1">
                <a:lumMod val="85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1963-4319-AE06-617DF030440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1963-4319-AE06-617DF030440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Analysis!$A$24:$A$33</c:f>
              <c:numCache>
                <c:formatCode>[&gt;=1000000]\₦#,##0.0,,"M";[&gt;=1000]\₦#,##0.0,"K";\₦#,##0</c:formatCode>
                <c:ptCount val="10"/>
                <c:pt idx="0">
                  <c:v>15608512.069999995</c:v>
                </c:pt>
                <c:pt idx="1">
                  <c:v>4882611.54</c:v>
                </c:pt>
                <c:pt idx="2">
                  <c:v>2998781.1099999989</c:v>
                </c:pt>
                <c:pt idx="3">
                  <c:v>2922801.8200000008</c:v>
                </c:pt>
                <c:pt idx="4">
                  <c:v>1441356.64</c:v>
                </c:pt>
                <c:pt idx="5">
                  <c:v>1433399.3499999994</c:v>
                </c:pt>
                <c:pt idx="6">
                  <c:v>894547.28000000014</c:v>
                </c:pt>
                <c:pt idx="7">
                  <c:v>882343.83000000007</c:v>
                </c:pt>
                <c:pt idx="8">
                  <c:v>799560.07</c:v>
                </c:pt>
                <c:pt idx="9">
                  <c:v>559366.27000000014</c:v>
                </c:pt>
              </c:numCache>
            </c:numRef>
          </c:val>
          <c:extLst>
            <c:ext xmlns:c16="http://schemas.microsoft.com/office/drawing/2014/chart" uri="{C3380CC4-5D6E-409C-BE32-E72D297353CC}">
              <c16:uniqueId val="{00000002-1963-4319-AE06-617DF030440C}"/>
            </c:ext>
          </c:extLst>
        </c:ser>
        <c:dLbls>
          <c:showLegendKey val="0"/>
          <c:showVal val="0"/>
          <c:showCatName val="0"/>
          <c:showSerName val="0"/>
          <c:showPercent val="0"/>
          <c:showBubbleSize val="0"/>
        </c:dLbls>
        <c:gapWidth val="20"/>
        <c:overlap val="100"/>
        <c:axId val="1365924064"/>
        <c:axId val="1370291968"/>
      </c:barChart>
      <c:catAx>
        <c:axId val="1365924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370291968"/>
        <c:crosses val="autoZero"/>
        <c:auto val="1"/>
        <c:lblAlgn val="ctr"/>
        <c:lblOffset val="100"/>
        <c:noMultiLvlLbl val="0"/>
      </c:catAx>
      <c:valAx>
        <c:axId val="1370291968"/>
        <c:scaling>
          <c:orientation val="minMax"/>
        </c:scaling>
        <c:delete val="1"/>
        <c:axPos val="t"/>
        <c:numFmt formatCode="[$₦-468]\ #,##0" sourceLinked="1"/>
        <c:majorTickMark val="none"/>
        <c:minorTickMark val="none"/>
        <c:tickLblPos val="nextTo"/>
        <c:crossAx val="1365924064"/>
        <c:crosses val="autoZero"/>
        <c:crossBetween val="between"/>
      </c:valAx>
      <c:spPr>
        <a:noFill/>
        <a:ln>
          <a:noFill/>
        </a:ln>
        <a:effectLst/>
      </c:spPr>
    </c:plotArea>
    <c:legend>
      <c:legendPos val="b"/>
      <c:legendEntry>
        <c:idx val="2"/>
        <c:delete val="1"/>
      </c:legendEntry>
      <c:layout>
        <c:manualLayout>
          <c:xMode val="edge"/>
          <c:yMode val="edge"/>
          <c:x val="0.15432223468165179"/>
          <c:y val="0.89709803675566213"/>
          <c:w val="0.69135520532521877"/>
          <c:h val="0.1029019632443380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088046888954063E-2"/>
          <c:y val="8.4344716845802012E-2"/>
          <c:w val="0.97084257143511954"/>
          <c:h val="0.65387431897816983"/>
        </c:manualLayout>
      </c:layout>
      <c:barChart>
        <c:barDir val="col"/>
        <c:grouping val="clustered"/>
        <c:varyColors val="0"/>
        <c:ser>
          <c:idx val="0"/>
          <c:order val="0"/>
          <c:tx>
            <c:strRef>
              <c:f>'Analysis 2'!$E$2</c:f>
              <c:strCache>
                <c:ptCount val="1"/>
                <c:pt idx="0">
                  <c:v>Other Sales</c:v>
                </c:pt>
              </c:strCache>
            </c:strRef>
          </c:tx>
          <c:spPr>
            <a:solidFill>
              <a:schemeClr val="accent6">
                <a:lumMod val="60000"/>
                <a:lumOff val="40000"/>
              </a:schemeClr>
            </a:solidFill>
            <a:ln>
              <a:noFill/>
            </a:ln>
            <a:effectLst/>
          </c:spPr>
          <c:invertIfNegative val="0"/>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0-05E5-4D49-9550-DA13D9962790}"/>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1-05E5-4D49-9550-DA13D996279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2'!$D$3:$D$6</c:f>
              <c:strCache>
                <c:ptCount val="4"/>
                <c:pt idx="0">
                  <c:v>Kano</c:v>
                </c:pt>
                <c:pt idx="1">
                  <c:v>Port Harcourt</c:v>
                </c:pt>
                <c:pt idx="2">
                  <c:v>Abuja</c:v>
                </c:pt>
                <c:pt idx="3">
                  <c:v>Lagos</c:v>
                </c:pt>
              </c:strCache>
            </c:strRef>
          </c:cat>
          <c:val>
            <c:numRef>
              <c:f>'Analysis 2'!$E$3:$E$6</c:f>
              <c:numCache>
                <c:formatCode>[&gt;=1000000]\₦#,##0.0,,"M";[&gt;=1000]\₦#,##0.0,"K";\₦#,##0</c:formatCode>
                <c:ptCount val="4"/>
                <c:pt idx="0">
                  <c:v>9639115.8800000027</c:v>
                </c:pt>
                <c:pt idx="1">
                  <c:v>7777902.0900000026</c:v>
                </c:pt>
                <c:pt idx="2">
                  <c:v>7773322.4100000029</c:v>
                </c:pt>
                <c:pt idx="3">
                  <c:v>7232939.6000000015</c:v>
                </c:pt>
              </c:numCache>
            </c:numRef>
          </c:val>
          <c:extLst>
            <c:ext xmlns:c16="http://schemas.microsoft.com/office/drawing/2014/chart" uri="{C3380CC4-5D6E-409C-BE32-E72D297353CC}">
              <c16:uniqueId val="{00000000-6322-4F64-BEC5-BC2A39EF3F07}"/>
            </c:ext>
          </c:extLst>
        </c:ser>
        <c:ser>
          <c:idx val="1"/>
          <c:order val="1"/>
          <c:tx>
            <c:strRef>
              <c:f>'Analysis 2'!$F$2</c:f>
              <c:strCache>
                <c:ptCount val="1"/>
                <c:pt idx="0">
                  <c:v>Underperforming Region</c:v>
                </c:pt>
              </c:strCache>
            </c:strRef>
          </c:tx>
          <c:spPr>
            <a:solidFill>
              <a:schemeClr val="accent2"/>
            </a:solidFill>
            <a:ln>
              <a:noFill/>
            </a:ln>
            <a:effectLst/>
          </c:spPr>
          <c:invertIfNegative val="0"/>
          <c:dLbls>
            <c:delete val="1"/>
          </c:dLbls>
          <c:cat>
            <c:strRef>
              <c:f>'Analysis 2'!$D$3:$D$6</c:f>
              <c:strCache>
                <c:ptCount val="4"/>
                <c:pt idx="0">
                  <c:v>Kano</c:v>
                </c:pt>
                <c:pt idx="1">
                  <c:v>Port Harcourt</c:v>
                </c:pt>
                <c:pt idx="2">
                  <c:v>Abuja</c:v>
                </c:pt>
                <c:pt idx="3">
                  <c:v>Lagos</c:v>
                </c:pt>
              </c:strCache>
            </c:strRef>
          </c:cat>
          <c:val>
            <c:numRef>
              <c:f>'Analysis 2'!$F$3:$F$6</c:f>
              <c:numCache>
                <c:formatCode>General</c:formatCode>
                <c:ptCount val="4"/>
                <c:pt idx="0">
                  <c:v>0</c:v>
                </c:pt>
                <c:pt idx="1">
                  <c:v>0</c:v>
                </c:pt>
                <c:pt idx="2">
                  <c:v>0</c:v>
                </c:pt>
                <c:pt idx="3" formatCode="[&gt;=1000000]\₦#,##0.0,,&quot;M&quot;;[&gt;=1000]\₦#,##0.0,&quot;K&quot;;\₦#,##0">
                  <c:v>7232939.6000000015</c:v>
                </c:pt>
              </c:numCache>
            </c:numRef>
          </c:val>
          <c:extLst>
            <c:ext xmlns:c16="http://schemas.microsoft.com/office/drawing/2014/chart" uri="{C3380CC4-5D6E-409C-BE32-E72D297353CC}">
              <c16:uniqueId val="{00000001-6322-4F64-BEC5-BC2A39EF3F07}"/>
            </c:ext>
          </c:extLst>
        </c:ser>
        <c:dLbls>
          <c:dLblPos val="outEnd"/>
          <c:showLegendKey val="0"/>
          <c:showVal val="1"/>
          <c:showCatName val="0"/>
          <c:showSerName val="0"/>
          <c:showPercent val="0"/>
          <c:showBubbleSize val="0"/>
        </c:dLbls>
        <c:gapWidth val="50"/>
        <c:overlap val="100"/>
        <c:axId val="1368592720"/>
        <c:axId val="1368593136"/>
        <c:extLst>
          <c:ext xmlns:c15="http://schemas.microsoft.com/office/drawing/2012/chart" uri="{02D57815-91ED-43cb-92C2-25804820EDAC}">
            <c15:filteredBarSeries>
              <c15:ser>
                <c:idx val="2"/>
                <c:order val="2"/>
                <c:tx>
                  <c:strRef>
                    <c:extLst>
                      <c:ext uri="{02D57815-91ED-43cb-92C2-25804820EDAC}">
                        <c15:formulaRef>
                          <c15:sqref>'Analysis 2'!$H$2</c15:sqref>
                        </c15:formulaRef>
                      </c:ext>
                    </c:extLst>
                    <c:strCache>
                      <c:ptCount val="1"/>
                      <c:pt idx="0">
                        <c:v>formatting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'Analysis 2'!$H$3:$H$6</c15:sqref>
                        </c15:formulaRef>
                      </c:ext>
                    </c:extLst>
                    <c:numCache>
                      <c:formatCode>[&gt;=1000000]\₦#,##0.0,,"M";[&gt;=1000]\₦#,##0.0,"K";\₦#,##0</c:formatCode>
                      <c:ptCount val="4"/>
                      <c:pt idx="0">
                        <c:v>9639115.8800000027</c:v>
                      </c:pt>
                      <c:pt idx="1">
                        <c:v>7777902.0900000026</c:v>
                      </c:pt>
                      <c:pt idx="2">
                        <c:v>7773322.4100000029</c:v>
                      </c:pt>
                      <c:pt idx="3">
                        <c:v>7232939.6000000015</c:v>
                      </c:pt>
                    </c:numCache>
                  </c:numRef>
                </c:val>
                <c:extLst>
                  <c:ext xmlns:c16="http://schemas.microsoft.com/office/drawing/2014/chart" uri="{C3380CC4-5D6E-409C-BE32-E72D297353CC}">
                    <c16:uniqueId val="{00000002-6322-4F64-BEC5-BC2A39EF3F07}"/>
                  </c:ext>
                </c:extLst>
              </c15:ser>
            </c15:filteredBarSeries>
          </c:ext>
        </c:extLst>
      </c:barChart>
      <c:catAx>
        <c:axId val="136859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68593136"/>
        <c:crosses val="autoZero"/>
        <c:auto val="1"/>
        <c:lblAlgn val="ctr"/>
        <c:lblOffset val="100"/>
        <c:noMultiLvlLbl val="0"/>
      </c:catAx>
      <c:valAx>
        <c:axId val="1368593136"/>
        <c:scaling>
          <c:orientation val="minMax"/>
        </c:scaling>
        <c:delete val="1"/>
        <c:axPos val="l"/>
        <c:numFmt formatCode="[&gt;=1000000]\₦#,##0.0,,&quot;M&quot;;[&gt;=1000]\₦#,##0.0,&quot;K&quot;;\₦#,##0" sourceLinked="1"/>
        <c:majorTickMark val="none"/>
        <c:minorTickMark val="none"/>
        <c:tickLblPos val="nextTo"/>
        <c:crossAx val="1368592720"/>
        <c:crosses val="autoZero"/>
        <c:crossBetween val="between"/>
      </c:valAx>
      <c:spPr>
        <a:noFill/>
        <a:ln>
          <a:noFill/>
        </a:ln>
        <a:effectLst/>
      </c:spPr>
    </c:plotArea>
    <c:legend>
      <c:legendPos val="b"/>
      <c:layout>
        <c:manualLayout>
          <c:xMode val="edge"/>
          <c:yMode val="edge"/>
          <c:x val="7.2049008743865203E-2"/>
          <c:y val="0.86030407655143337"/>
          <c:w val="0.84078111108432318"/>
          <c:h val="0.1193253342996951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070175438596492E-2"/>
          <c:y val="0.11439990455738487"/>
          <c:w val="0.93888888888888888"/>
          <c:h val="0.66941967568386895"/>
        </c:manualLayout>
      </c:layout>
      <c:barChart>
        <c:barDir val="col"/>
        <c:grouping val="clustered"/>
        <c:varyColors val="0"/>
        <c:ser>
          <c:idx val="0"/>
          <c:order val="0"/>
          <c:tx>
            <c:strRef>
              <c:f>'Analysis 2'!$E$10</c:f>
              <c:strCache>
                <c:ptCount val="1"/>
                <c:pt idx="0">
                  <c:v> Sales Amount    </c:v>
                </c:pt>
              </c:strCache>
            </c:strRef>
          </c:tx>
          <c:spPr>
            <a:solidFill>
              <a:schemeClr val="accent1"/>
            </a:solidFill>
            <a:ln>
              <a:noFill/>
            </a:ln>
            <a:effectLst/>
          </c:spPr>
          <c:invertIfNegative val="0"/>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0-64EC-48B1-BB63-E198D58DDEA3}"/>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1-64EC-48B1-BB63-E198D58DDEA3}"/>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2-64EC-48B1-BB63-E198D58DDEA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2'!$D$11:$D$15</c:f>
              <c:strCache>
                <c:ptCount val="5"/>
                <c:pt idx="0">
                  <c:v>David</c:v>
                </c:pt>
                <c:pt idx="1">
                  <c:v>Amina</c:v>
                </c:pt>
                <c:pt idx="2">
                  <c:v>John</c:v>
                </c:pt>
                <c:pt idx="3">
                  <c:v>Chioma</c:v>
                </c:pt>
                <c:pt idx="4">
                  <c:v>Ibrahim</c:v>
                </c:pt>
              </c:strCache>
            </c:strRef>
          </c:cat>
          <c:val>
            <c:numRef>
              <c:f>'Analysis 2'!$E$11:$E$15</c:f>
              <c:numCache>
                <c:formatCode>[&gt;=1000000]\₦#,##0.0,,"M";[&gt;=1000]\₦#,##0.0,"K";\₦#,##0</c:formatCode>
                <c:ptCount val="5"/>
                <c:pt idx="0">
                  <c:v>8032607.6899999995</c:v>
                </c:pt>
                <c:pt idx="1">
                  <c:v>6703634.1300000018</c:v>
                </c:pt>
                <c:pt idx="2">
                  <c:v>6381725.929999996</c:v>
                </c:pt>
                <c:pt idx="3">
                  <c:v>5653714.0400000028</c:v>
                </c:pt>
                <c:pt idx="4">
                  <c:v>5651598.1900000013</c:v>
                </c:pt>
              </c:numCache>
            </c:numRef>
          </c:val>
          <c:extLst>
            <c:ext xmlns:c16="http://schemas.microsoft.com/office/drawing/2014/chart" uri="{C3380CC4-5D6E-409C-BE32-E72D297353CC}">
              <c16:uniqueId val="{00000000-C148-4E56-A17D-D1982E327FFE}"/>
            </c:ext>
          </c:extLst>
        </c:ser>
        <c:ser>
          <c:idx val="1"/>
          <c:order val="1"/>
          <c:tx>
            <c:strRef>
              <c:f>'Analysis 2'!$F$10</c:f>
              <c:strCache>
                <c:ptCount val="1"/>
                <c:pt idx="0">
                  <c:v>lowest performer</c:v>
                </c:pt>
              </c:strCache>
            </c:strRef>
          </c:tx>
          <c:spPr>
            <a:solidFill>
              <a:schemeClr val="accent2"/>
            </a:solidFill>
            <a:ln>
              <a:noFill/>
            </a:ln>
            <a:effectLst/>
          </c:spPr>
          <c:invertIfNegative val="0"/>
          <c:cat>
            <c:strRef>
              <c:f>'Analysis 2'!$D$11:$D$15</c:f>
              <c:strCache>
                <c:ptCount val="5"/>
                <c:pt idx="0">
                  <c:v>David</c:v>
                </c:pt>
                <c:pt idx="1">
                  <c:v>Amina</c:v>
                </c:pt>
                <c:pt idx="2">
                  <c:v>John</c:v>
                </c:pt>
                <c:pt idx="3">
                  <c:v>Chioma</c:v>
                </c:pt>
                <c:pt idx="4">
                  <c:v>Ibrahim</c:v>
                </c:pt>
              </c:strCache>
            </c:strRef>
          </c:cat>
          <c:val>
            <c:numRef>
              <c:f>'Analysis 2'!$F$11:$F$15</c:f>
              <c:numCache>
                <c:formatCode>[&gt;=1000000]\₦#,##0.0,,"M";[&gt;=1000]\₦#,##0.0,"K";\₦#,##0</c:formatCode>
                <c:ptCount val="5"/>
                <c:pt idx="0">
                  <c:v>0</c:v>
                </c:pt>
                <c:pt idx="1">
                  <c:v>0</c:v>
                </c:pt>
                <c:pt idx="2">
                  <c:v>0</c:v>
                </c:pt>
                <c:pt idx="3">
                  <c:v>0</c:v>
                </c:pt>
                <c:pt idx="4">
                  <c:v>5651598.1900000013</c:v>
                </c:pt>
              </c:numCache>
            </c:numRef>
          </c:val>
          <c:extLst>
            <c:ext xmlns:c16="http://schemas.microsoft.com/office/drawing/2014/chart" uri="{C3380CC4-5D6E-409C-BE32-E72D297353CC}">
              <c16:uniqueId val="{00000001-C148-4E56-A17D-D1982E327FFE}"/>
            </c:ext>
          </c:extLst>
        </c:ser>
        <c:ser>
          <c:idx val="2"/>
          <c:order val="2"/>
          <c:tx>
            <c:strRef>
              <c:f>'Analysis 2'!$G$10</c:f>
              <c:strCache>
                <c:ptCount val="1"/>
                <c:pt idx="0">
                  <c:v>Highest Performer</c:v>
                </c:pt>
              </c:strCache>
            </c:strRef>
          </c:tx>
          <c:spPr>
            <a:solidFill>
              <a:schemeClr val="accent6">
                <a:lumMod val="60000"/>
                <a:lumOff val="40000"/>
              </a:schemeClr>
            </a:solidFill>
            <a:ln>
              <a:noFill/>
            </a:ln>
            <a:effectLst/>
          </c:spPr>
          <c:invertIfNegative val="0"/>
          <c:cat>
            <c:strRef>
              <c:f>'Analysis 2'!$D$11:$D$15</c:f>
              <c:strCache>
                <c:ptCount val="5"/>
                <c:pt idx="0">
                  <c:v>David</c:v>
                </c:pt>
                <c:pt idx="1">
                  <c:v>Amina</c:v>
                </c:pt>
                <c:pt idx="2">
                  <c:v>John</c:v>
                </c:pt>
                <c:pt idx="3">
                  <c:v>Chioma</c:v>
                </c:pt>
                <c:pt idx="4">
                  <c:v>Ibrahim</c:v>
                </c:pt>
              </c:strCache>
            </c:strRef>
          </c:cat>
          <c:val>
            <c:numRef>
              <c:f>'Analysis 2'!$G$11:$G$15</c:f>
              <c:numCache>
                <c:formatCode>[&gt;=1000000]\₦#,##0.0,,"M";[&gt;=1000]\₦#,##0.0,"K";\₦#,##0</c:formatCode>
                <c:ptCount val="5"/>
                <c:pt idx="0">
                  <c:v>8032607.6899999995</c:v>
                </c:pt>
                <c:pt idx="1">
                  <c:v>0</c:v>
                </c:pt>
                <c:pt idx="2">
                  <c:v>0</c:v>
                </c:pt>
                <c:pt idx="3">
                  <c:v>0</c:v>
                </c:pt>
                <c:pt idx="4">
                  <c:v>0</c:v>
                </c:pt>
              </c:numCache>
            </c:numRef>
          </c:val>
          <c:extLst>
            <c:ext xmlns:c16="http://schemas.microsoft.com/office/drawing/2014/chart" uri="{C3380CC4-5D6E-409C-BE32-E72D297353CC}">
              <c16:uniqueId val="{00000002-C148-4E56-A17D-D1982E327FFE}"/>
            </c:ext>
          </c:extLst>
        </c:ser>
        <c:dLbls>
          <c:showLegendKey val="0"/>
          <c:showVal val="0"/>
          <c:showCatName val="0"/>
          <c:showSerName val="0"/>
          <c:showPercent val="0"/>
          <c:showBubbleSize val="0"/>
        </c:dLbls>
        <c:gapWidth val="48"/>
        <c:overlap val="100"/>
        <c:axId val="284561151"/>
        <c:axId val="284569887"/>
      </c:barChart>
      <c:catAx>
        <c:axId val="2845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84569887"/>
        <c:crosses val="autoZero"/>
        <c:auto val="1"/>
        <c:lblAlgn val="ctr"/>
        <c:lblOffset val="100"/>
        <c:noMultiLvlLbl val="0"/>
      </c:catAx>
      <c:valAx>
        <c:axId val="284569887"/>
        <c:scaling>
          <c:orientation val="minMax"/>
        </c:scaling>
        <c:delete val="1"/>
        <c:axPos val="l"/>
        <c:numFmt formatCode="[&gt;=1000000]\₦#,##0.0,,&quot;M&quot;;[&gt;=1000]\₦#,##0.0,&quot;K&quot;;\₦#,##0" sourceLinked="1"/>
        <c:majorTickMark val="none"/>
        <c:minorTickMark val="none"/>
        <c:tickLblPos val="nextTo"/>
        <c:crossAx val="284561151"/>
        <c:crosses val="autoZero"/>
        <c:crossBetween val="between"/>
      </c:valAx>
      <c:spPr>
        <a:noFill/>
        <a:ln>
          <a:noFill/>
        </a:ln>
        <a:effectLst/>
      </c:spPr>
    </c:plotArea>
    <c:legend>
      <c:legendPos val="b"/>
      <c:layout>
        <c:manualLayout>
          <c:xMode val="edge"/>
          <c:yMode val="edge"/>
          <c:x val="8.1753605887482872E-2"/>
          <c:y val="0.92816654736339776"/>
          <c:w val="0.83649278822503426"/>
          <c:h val="7.1833452636602249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457207725222201E-2"/>
          <c:y val="3.6470784136996795E-2"/>
          <c:w val="0.97313006077820641"/>
          <c:h val="0.8416746864975212"/>
        </c:manualLayout>
      </c:layout>
      <c:lineChart>
        <c:grouping val="standard"/>
        <c:varyColors val="0"/>
        <c:ser>
          <c:idx val="0"/>
          <c:order val="0"/>
          <c:tx>
            <c:strRef>
              <c:f>'Analysis 2'!$E$19</c:f>
              <c:strCache>
                <c:ptCount val="1"/>
                <c:pt idx="0">
                  <c:v>Revenue Generated</c:v>
                </c:pt>
              </c:strCache>
            </c:strRef>
          </c:tx>
          <c:spPr>
            <a:ln w="28575" cap="rnd">
              <a:solidFill>
                <a:schemeClr val="bg1">
                  <a:lumMod val="85000"/>
                </a:schemeClr>
              </a:solidFill>
              <a:round/>
              <a:tailEnd type="oval"/>
            </a:ln>
            <a:effectLst/>
          </c:spPr>
          <c:marker>
            <c:symbol val="none"/>
          </c:marker>
          <c:dPt>
            <c:idx val="1"/>
            <c:marker>
              <c:symbol val="none"/>
            </c:marker>
            <c:bubble3D val="0"/>
            <c:spPr>
              <a:ln w="28575" cap="rnd">
                <a:solidFill>
                  <a:schemeClr val="accent2"/>
                </a:solidFill>
                <a:round/>
                <a:tailEnd type="oval"/>
              </a:ln>
              <a:effectLst/>
            </c:spPr>
            <c:extLst>
              <c:ext xmlns:c16="http://schemas.microsoft.com/office/drawing/2014/chart" uri="{C3380CC4-5D6E-409C-BE32-E72D297353CC}">
                <c16:uniqueId val="{00000001-777C-4AB6-93E4-95B9BCBAA06D}"/>
              </c:ext>
            </c:extLst>
          </c:dPt>
          <c:dPt>
            <c:idx val="7"/>
            <c:marker>
              <c:symbol val="none"/>
            </c:marker>
            <c:bubble3D val="0"/>
            <c:spPr>
              <a:ln w="28575" cap="rnd">
                <a:solidFill>
                  <a:schemeClr val="accent6">
                    <a:lumMod val="60000"/>
                    <a:lumOff val="40000"/>
                  </a:schemeClr>
                </a:solidFill>
                <a:round/>
                <a:tailEnd type="oval"/>
              </a:ln>
              <a:effectLst/>
            </c:spPr>
            <c:extLst>
              <c:ext xmlns:c16="http://schemas.microsoft.com/office/drawing/2014/chart" uri="{C3380CC4-5D6E-409C-BE32-E72D297353CC}">
                <c16:uniqueId val="{00000003-777C-4AB6-93E4-95B9BCBAA06D}"/>
              </c:ext>
            </c:extLst>
          </c:dPt>
          <c:dLbls>
            <c:dLbl>
              <c:idx val="1"/>
              <c:delete val="1"/>
              <c:extLst>
                <c:ext xmlns:c15="http://schemas.microsoft.com/office/drawing/2012/chart" uri="{CE6537A1-D6FC-4f65-9D91-7224C49458BB}"/>
                <c:ext xmlns:c16="http://schemas.microsoft.com/office/drawing/2014/chart" uri="{C3380CC4-5D6E-409C-BE32-E72D297353CC}">
                  <c16:uniqueId val="{00000001-777C-4AB6-93E4-95B9BCBAA06D}"/>
                </c:ext>
              </c:extLst>
            </c:dLbl>
            <c:dLbl>
              <c:idx val="2"/>
              <c:delete val="1"/>
              <c:extLst>
                <c:ext xmlns:c15="http://schemas.microsoft.com/office/drawing/2012/chart" uri="{CE6537A1-D6FC-4f65-9D91-7224C49458BB}"/>
                <c:ext xmlns:c16="http://schemas.microsoft.com/office/drawing/2014/chart" uri="{C3380CC4-5D6E-409C-BE32-E72D297353CC}">
                  <c16:uniqueId val="{00000004-777C-4AB6-93E4-95B9BCBAA06D}"/>
                </c:ext>
              </c:extLst>
            </c:dLbl>
            <c:dLbl>
              <c:idx val="3"/>
              <c:delete val="1"/>
              <c:extLst>
                <c:ext xmlns:c15="http://schemas.microsoft.com/office/drawing/2012/chart" uri="{CE6537A1-D6FC-4f65-9D91-7224C49458BB}"/>
                <c:ext xmlns:c16="http://schemas.microsoft.com/office/drawing/2014/chart" uri="{C3380CC4-5D6E-409C-BE32-E72D297353CC}">
                  <c16:uniqueId val="{00000005-777C-4AB6-93E4-95B9BCBAA06D}"/>
                </c:ext>
              </c:extLst>
            </c:dLbl>
            <c:dLbl>
              <c:idx val="4"/>
              <c:delete val="1"/>
              <c:extLst>
                <c:ext xmlns:c15="http://schemas.microsoft.com/office/drawing/2012/chart" uri="{CE6537A1-D6FC-4f65-9D91-7224C49458BB}"/>
                <c:ext xmlns:c16="http://schemas.microsoft.com/office/drawing/2014/chart" uri="{C3380CC4-5D6E-409C-BE32-E72D297353CC}">
                  <c16:uniqueId val="{00000006-777C-4AB6-93E4-95B9BCBAA06D}"/>
                </c:ext>
              </c:extLst>
            </c:dLbl>
            <c:dLbl>
              <c:idx val="5"/>
              <c:delete val="1"/>
              <c:extLst>
                <c:ext xmlns:c15="http://schemas.microsoft.com/office/drawing/2012/chart" uri="{CE6537A1-D6FC-4f65-9D91-7224C49458BB}"/>
                <c:ext xmlns:c16="http://schemas.microsoft.com/office/drawing/2014/chart" uri="{C3380CC4-5D6E-409C-BE32-E72D297353CC}">
                  <c16:uniqueId val="{00000007-777C-4AB6-93E4-95B9BCBAA06D}"/>
                </c:ext>
              </c:extLst>
            </c:dLbl>
            <c:dLbl>
              <c:idx val="6"/>
              <c:delete val="1"/>
              <c:extLst>
                <c:ext xmlns:c15="http://schemas.microsoft.com/office/drawing/2012/chart" uri="{CE6537A1-D6FC-4f65-9D91-7224C49458BB}"/>
                <c:ext xmlns:c16="http://schemas.microsoft.com/office/drawing/2014/chart" uri="{C3380CC4-5D6E-409C-BE32-E72D297353CC}">
                  <c16:uniqueId val="{00000008-777C-4AB6-93E4-95B9BCBAA06D}"/>
                </c:ext>
              </c:extLst>
            </c:dLbl>
            <c:dLbl>
              <c:idx val="8"/>
              <c:delete val="1"/>
              <c:extLst>
                <c:ext xmlns:c15="http://schemas.microsoft.com/office/drawing/2012/chart" uri="{CE6537A1-D6FC-4f65-9D91-7224C49458BB}"/>
                <c:ext xmlns:c16="http://schemas.microsoft.com/office/drawing/2014/chart" uri="{C3380CC4-5D6E-409C-BE32-E72D297353CC}">
                  <c16:uniqueId val="{00000009-777C-4AB6-93E4-95B9BCBAA06D}"/>
                </c:ext>
              </c:extLst>
            </c:dLbl>
            <c:dLbl>
              <c:idx val="9"/>
              <c:delete val="1"/>
              <c:extLst>
                <c:ext xmlns:c15="http://schemas.microsoft.com/office/drawing/2012/chart" uri="{CE6537A1-D6FC-4f65-9D91-7224C49458BB}"/>
                <c:ext xmlns:c16="http://schemas.microsoft.com/office/drawing/2014/chart" uri="{C3380CC4-5D6E-409C-BE32-E72D297353CC}">
                  <c16:uniqueId val="{0000000A-777C-4AB6-93E4-95B9BCBAA06D}"/>
                </c:ext>
              </c:extLst>
            </c:dLbl>
            <c:dLbl>
              <c:idx val="10"/>
              <c:delete val="1"/>
              <c:extLst>
                <c:ext xmlns:c15="http://schemas.microsoft.com/office/drawing/2012/chart" uri="{CE6537A1-D6FC-4f65-9D91-7224C49458BB}"/>
                <c:ext xmlns:c16="http://schemas.microsoft.com/office/drawing/2014/chart" uri="{C3380CC4-5D6E-409C-BE32-E72D297353CC}">
                  <c16:uniqueId val="{0000000B-777C-4AB6-93E4-95B9BCBAA06D}"/>
                </c:ext>
              </c:extLst>
            </c:dLbl>
            <c:dLbl>
              <c:idx val="11"/>
              <c:delete val="1"/>
              <c:extLst>
                <c:ext xmlns:c15="http://schemas.microsoft.com/office/drawing/2012/chart" uri="{CE6537A1-D6FC-4f65-9D91-7224C49458BB}"/>
                <c:ext xmlns:c16="http://schemas.microsoft.com/office/drawing/2014/chart" uri="{C3380CC4-5D6E-409C-BE32-E72D297353CC}">
                  <c16:uniqueId val="{0000000C-777C-4AB6-93E4-95B9BCBAA06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2'!$D$20:$D$31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2'!$E$20:$E$31</c:f>
              <c:numCache>
                <c:formatCode>[&gt;=1000000]\₦#,##0.0,,"M";[&gt;=1000]\₦#,##0.0,"K";\₦#,##0</c:formatCode>
                <c:ptCount val="12"/>
                <c:pt idx="0">
                  <c:v>1855882.5999999996</c:v>
                </c:pt>
                <c:pt idx="1">
                  <c:v>2252704.8199999998</c:v>
                </c:pt>
                <c:pt idx="2">
                  <c:v>2749743.6399999997</c:v>
                </c:pt>
                <c:pt idx="3">
                  <c:v>3570278.61</c:v>
                </c:pt>
                <c:pt idx="4">
                  <c:v>2412453.2200000002</c:v>
                </c:pt>
                <c:pt idx="5">
                  <c:v>2686881.93</c:v>
                </c:pt>
                <c:pt idx="6">
                  <c:v>2271345.2400000002</c:v>
                </c:pt>
                <c:pt idx="7">
                  <c:v>4301440.6499999994</c:v>
                </c:pt>
                <c:pt idx="8">
                  <c:v>2037453.45</c:v>
                </c:pt>
                <c:pt idx="9">
                  <c:v>2701657.7699999986</c:v>
                </c:pt>
                <c:pt idx="10">
                  <c:v>2972391.4</c:v>
                </c:pt>
                <c:pt idx="11">
                  <c:v>2611046.649999999</c:v>
                </c:pt>
              </c:numCache>
            </c:numRef>
          </c:val>
          <c:smooth val="1"/>
          <c:extLst>
            <c:ext xmlns:c16="http://schemas.microsoft.com/office/drawing/2014/chart" uri="{C3380CC4-5D6E-409C-BE32-E72D297353CC}">
              <c16:uniqueId val="{0000000D-777C-4AB6-93E4-95B9BCBAA06D}"/>
            </c:ext>
          </c:extLst>
        </c:ser>
        <c:dLbls>
          <c:dLblPos val="t"/>
          <c:showLegendKey val="0"/>
          <c:showVal val="1"/>
          <c:showCatName val="0"/>
          <c:showSerName val="0"/>
          <c:showPercent val="0"/>
          <c:showBubbleSize val="0"/>
        </c:dLbls>
        <c:smooth val="0"/>
        <c:axId val="1059790672"/>
        <c:axId val="1059782768"/>
      </c:lineChart>
      <c:catAx>
        <c:axId val="105979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59782768"/>
        <c:crosses val="autoZero"/>
        <c:auto val="1"/>
        <c:lblAlgn val="ctr"/>
        <c:lblOffset val="100"/>
        <c:noMultiLvlLbl val="0"/>
      </c:catAx>
      <c:valAx>
        <c:axId val="1059782768"/>
        <c:scaling>
          <c:orientation val="minMax"/>
        </c:scaling>
        <c:delete val="1"/>
        <c:axPos val="l"/>
        <c:numFmt formatCode="[&gt;=1000000]\₦#,##0.0,,&quot;M&quot;;[&gt;=1000]\₦#,##0.0,&quot;K&quot;;\₦#,##0" sourceLinked="1"/>
        <c:majorTickMark val="none"/>
        <c:minorTickMark val="none"/>
        <c:tickLblPos val="nextTo"/>
        <c:crossAx val="10597906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444444444444445E-2"/>
          <c:y val="0"/>
          <c:w val="0.93888888888888888"/>
          <c:h val="0.70207375692923923"/>
        </c:manualLayout>
      </c:layout>
      <c:barChart>
        <c:barDir val="col"/>
        <c:grouping val="clustered"/>
        <c:varyColors val="0"/>
        <c:ser>
          <c:idx val="0"/>
          <c:order val="0"/>
          <c:tx>
            <c:strRef>
              <c:f>'Analysis 2'!$E$35</c:f>
              <c:strCache>
                <c:ptCount val="1"/>
                <c:pt idx="0">
                  <c:v>Sales Amount       </c:v>
                </c:pt>
              </c:strCache>
            </c:strRef>
          </c:tx>
          <c:spPr>
            <a:solidFill>
              <a:schemeClr val="bg1">
                <a:lumMod val="75000"/>
              </a:schemeClr>
            </a:solidFill>
            <a:ln>
              <a:noFill/>
            </a:ln>
            <a:effectLst/>
          </c:spPr>
          <c:invertIfNegative val="0"/>
          <c:dLbls>
            <c:dLbl>
              <c:idx val="0"/>
              <c:layout/>
              <c:tx>
                <c:rich>
                  <a:bodyPr/>
                  <a:lstStyle/>
                  <a:p>
                    <a:fld id="{F8F2C048-961F-4F2A-A0DC-0BDB1E93175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0-1FED-4536-B525-FA04A9FAE213}"/>
                </c:ext>
              </c:extLst>
            </c:dLbl>
            <c:dLbl>
              <c:idx val="1"/>
              <c:layout/>
              <c:tx>
                <c:rich>
                  <a:bodyPr/>
                  <a:lstStyle/>
                  <a:p>
                    <a:fld id="{97D41562-B6E3-44D0-B10E-DAFED7BC5AC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1-1FED-4536-B525-FA04A9FAE213}"/>
                </c:ext>
              </c:extLst>
            </c:dLbl>
            <c:dLbl>
              <c:idx val="2"/>
              <c:layout/>
              <c:tx>
                <c:rich>
                  <a:bodyPr/>
                  <a:lstStyle/>
                  <a:p>
                    <a:fld id="{3D34ED8A-785B-49E0-8CCF-DEBACF64154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2-1FED-4536-B525-FA04A9FAE213}"/>
                </c:ext>
              </c:extLst>
            </c:dLbl>
            <c:dLbl>
              <c:idx val="3"/>
              <c:layout/>
              <c:tx>
                <c:rich>
                  <a:bodyPr/>
                  <a:lstStyle/>
                  <a:p>
                    <a:fld id="{4B6B58E5-C1AA-4EF1-9A5F-B4D24B5F164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1FED-4536-B525-FA04A9FAE213}"/>
                </c:ext>
              </c:extLst>
            </c:dLbl>
            <c:dLbl>
              <c:idx val="4"/>
              <c:layout/>
              <c:tx>
                <c:rich>
                  <a:bodyPr/>
                  <a:lstStyle/>
                  <a:p>
                    <a:fld id="{8D7DFBFC-AB0A-42F1-8F91-C974F320291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4-1FED-4536-B525-FA04A9FAE213}"/>
                </c:ext>
              </c:extLst>
            </c:dLbl>
            <c:dLbl>
              <c:idx val="5"/>
              <c:layout/>
              <c:tx>
                <c:rich>
                  <a:bodyPr/>
                  <a:lstStyle/>
                  <a:p>
                    <a:fld id="{E54C28CB-A8F4-4FDE-8523-412C1422DAD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5-1FED-4536-B525-FA04A9FAE213}"/>
                </c:ext>
              </c:extLst>
            </c:dLbl>
            <c:dLbl>
              <c:idx val="6"/>
              <c:layout/>
              <c:tx>
                <c:rich>
                  <a:bodyPr/>
                  <a:lstStyle/>
                  <a:p>
                    <a:fld id="{FD51EF52-7E09-419A-86B8-14AE1B1A148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6-1FED-4536-B525-FA04A9FAE21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cat>
            <c:numRef>
              <c:f>'Analysis 2'!$D$36:$D$42</c:f>
              <c:numCache>
                <c:formatCode>ddd</c:formatCode>
                <c:ptCount val="7"/>
                <c:pt idx="0">
                  <c:v>0</c:v>
                </c:pt>
                <c:pt idx="1">
                  <c:v>1</c:v>
                </c:pt>
                <c:pt idx="2">
                  <c:v>2</c:v>
                </c:pt>
                <c:pt idx="3">
                  <c:v>3</c:v>
                </c:pt>
                <c:pt idx="4">
                  <c:v>4</c:v>
                </c:pt>
                <c:pt idx="5">
                  <c:v>5</c:v>
                </c:pt>
                <c:pt idx="6">
                  <c:v>6</c:v>
                </c:pt>
              </c:numCache>
            </c:numRef>
          </c:cat>
          <c:val>
            <c:numRef>
              <c:f>'Analysis 2'!$E$36:$E$42</c:f>
              <c:numCache>
                <c:formatCode>[$₦-46A]#,##0</c:formatCode>
                <c:ptCount val="7"/>
                <c:pt idx="0">
                  <c:v>4302077.2599999979</c:v>
                </c:pt>
                <c:pt idx="1">
                  <c:v>4863633.8899999978</c:v>
                </c:pt>
                <c:pt idx="2">
                  <c:v>3672563.32</c:v>
                </c:pt>
                <c:pt idx="3">
                  <c:v>4386996.8899999997</c:v>
                </c:pt>
                <c:pt idx="4">
                  <c:v>4269139.0900000017</c:v>
                </c:pt>
                <c:pt idx="5">
                  <c:v>5289674.8000000026</c:v>
                </c:pt>
                <c:pt idx="6">
                  <c:v>5639194.7300000023</c:v>
                </c:pt>
              </c:numCache>
            </c:numRef>
          </c:val>
          <c:extLst>
            <c:ext xmlns:c15="http://schemas.microsoft.com/office/drawing/2012/chart" uri="{02D57815-91ED-43cb-92C2-25804820EDAC}">
              <c15:datalabelsRange>
                <c15:f>'Analysis 2'!$C$36:$C$42</c15:f>
                <c15:dlblRangeCache>
                  <c:ptCount val="7"/>
                  <c:pt idx="0">
                    <c:v>₦4.3M</c:v>
                  </c:pt>
                  <c:pt idx="1">
                    <c:v>₦4.9M</c:v>
                  </c:pt>
                  <c:pt idx="2">
                    <c:v>₦3.7M</c:v>
                  </c:pt>
                  <c:pt idx="3">
                    <c:v>₦4.4M</c:v>
                  </c:pt>
                  <c:pt idx="4">
                    <c:v>₦4.3M</c:v>
                  </c:pt>
                  <c:pt idx="5">
                    <c:v>₦5.3M</c:v>
                  </c:pt>
                  <c:pt idx="6">
                    <c:v>₦5.6M</c:v>
                  </c:pt>
                </c15:dlblRangeCache>
              </c15:datalabelsRange>
            </c:ext>
            <c:ext xmlns:c16="http://schemas.microsoft.com/office/drawing/2014/chart" uri="{C3380CC4-5D6E-409C-BE32-E72D297353CC}">
              <c16:uniqueId val="{00000007-1FED-4536-B525-FA04A9FAE213}"/>
            </c:ext>
          </c:extLst>
        </c:ser>
        <c:ser>
          <c:idx val="1"/>
          <c:order val="1"/>
          <c:tx>
            <c:strRef>
              <c:f>'Analysis 2'!$F$35</c:f>
              <c:strCache>
                <c:ptCount val="1"/>
                <c:pt idx="0">
                  <c:v>Top Performing days</c:v>
                </c:pt>
              </c:strCache>
            </c:strRef>
          </c:tx>
          <c:spPr>
            <a:solidFill>
              <a:schemeClr val="accent6">
                <a:lumMod val="60000"/>
                <a:lumOff val="40000"/>
              </a:schemeClr>
            </a:solidFill>
            <a:ln>
              <a:noFill/>
            </a:ln>
            <a:effectLst/>
          </c:spPr>
          <c:invertIfNegative val="0"/>
          <c:dLbls>
            <c:delete val="1"/>
          </c:dLbls>
          <c:cat>
            <c:numRef>
              <c:f>'Analysis 2'!$D$36:$D$42</c:f>
              <c:numCache>
                <c:formatCode>ddd</c:formatCode>
                <c:ptCount val="7"/>
                <c:pt idx="0">
                  <c:v>0</c:v>
                </c:pt>
                <c:pt idx="1">
                  <c:v>1</c:v>
                </c:pt>
                <c:pt idx="2">
                  <c:v>2</c:v>
                </c:pt>
                <c:pt idx="3">
                  <c:v>3</c:v>
                </c:pt>
                <c:pt idx="4">
                  <c:v>4</c:v>
                </c:pt>
                <c:pt idx="5">
                  <c:v>5</c:v>
                </c:pt>
                <c:pt idx="6">
                  <c:v>6</c:v>
                </c:pt>
              </c:numCache>
            </c:numRef>
          </c:cat>
          <c:val>
            <c:numRef>
              <c:f>'Analysis 2'!$F$36:$F$42</c:f>
              <c:numCache>
                <c:formatCode>[$₦-46A]#,##0</c:formatCode>
                <c:ptCount val="7"/>
                <c:pt idx="0">
                  <c:v>0</c:v>
                </c:pt>
                <c:pt idx="1">
                  <c:v>0</c:v>
                </c:pt>
                <c:pt idx="2">
                  <c:v>0</c:v>
                </c:pt>
                <c:pt idx="3">
                  <c:v>0</c:v>
                </c:pt>
                <c:pt idx="4">
                  <c:v>0</c:v>
                </c:pt>
                <c:pt idx="5">
                  <c:v>5289674.8000000026</c:v>
                </c:pt>
                <c:pt idx="6">
                  <c:v>5639194.7300000023</c:v>
                </c:pt>
              </c:numCache>
            </c:numRef>
          </c:val>
          <c:extLst>
            <c:ext xmlns:c16="http://schemas.microsoft.com/office/drawing/2014/chart" uri="{C3380CC4-5D6E-409C-BE32-E72D297353CC}">
              <c16:uniqueId val="{00000008-1FED-4536-B525-FA04A9FAE213}"/>
            </c:ext>
          </c:extLst>
        </c:ser>
        <c:ser>
          <c:idx val="2"/>
          <c:order val="2"/>
          <c:tx>
            <c:strRef>
              <c:f>'Analysis 2'!$G$35</c:f>
              <c:strCache>
                <c:ptCount val="1"/>
                <c:pt idx="0">
                  <c:v>lowest performing day</c:v>
                </c:pt>
              </c:strCache>
            </c:strRef>
          </c:tx>
          <c:spPr>
            <a:solidFill>
              <a:schemeClr val="accent2"/>
            </a:solidFill>
            <a:ln>
              <a:noFill/>
            </a:ln>
            <a:effectLst/>
          </c:spPr>
          <c:invertIfNegative val="0"/>
          <c:dLbls>
            <c:delete val="1"/>
          </c:dLbls>
          <c:cat>
            <c:numRef>
              <c:f>'Analysis 2'!$D$36:$D$42</c:f>
              <c:numCache>
                <c:formatCode>ddd</c:formatCode>
                <c:ptCount val="7"/>
                <c:pt idx="0">
                  <c:v>0</c:v>
                </c:pt>
                <c:pt idx="1">
                  <c:v>1</c:v>
                </c:pt>
                <c:pt idx="2">
                  <c:v>2</c:v>
                </c:pt>
                <c:pt idx="3">
                  <c:v>3</c:v>
                </c:pt>
                <c:pt idx="4">
                  <c:v>4</c:v>
                </c:pt>
                <c:pt idx="5">
                  <c:v>5</c:v>
                </c:pt>
                <c:pt idx="6">
                  <c:v>6</c:v>
                </c:pt>
              </c:numCache>
            </c:numRef>
          </c:cat>
          <c:val>
            <c:numRef>
              <c:f>'Analysis 2'!$G$36:$G$42</c:f>
              <c:numCache>
                <c:formatCode>General</c:formatCode>
                <c:ptCount val="7"/>
                <c:pt idx="0">
                  <c:v>0</c:v>
                </c:pt>
                <c:pt idx="1">
                  <c:v>0</c:v>
                </c:pt>
                <c:pt idx="2" formatCode="[$₦-469]\ #,##0">
                  <c:v>3672563.32</c:v>
                </c:pt>
                <c:pt idx="3">
                  <c:v>0</c:v>
                </c:pt>
                <c:pt idx="4">
                  <c:v>0</c:v>
                </c:pt>
                <c:pt idx="5">
                  <c:v>0</c:v>
                </c:pt>
                <c:pt idx="6">
                  <c:v>0</c:v>
                </c:pt>
              </c:numCache>
            </c:numRef>
          </c:val>
          <c:extLst>
            <c:ext xmlns:c16="http://schemas.microsoft.com/office/drawing/2014/chart" uri="{C3380CC4-5D6E-409C-BE32-E72D297353CC}">
              <c16:uniqueId val="{00000009-1FED-4536-B525-FA04A9FAE213}"/>
            </c:ext>
          </c:extLst>
        </c:ser>
        <c:dLbls>
          <c:showLegendKey val="0"/>
          <c:showVal val="1"/>
          <c:showCatName val="0"/>
          <c:showSerName val="0"/>
          <c:showPercent val="0"/>
          <c:showBubbleSize val="0"/>
        </c:dLbls>
        <c:gapWidth val="30"/>
        <c:overlap val="100"/>
        <c:axId val="994159536"/>
        <c:axId val="994150800"/>
      </c:barChart>
      <c:dateAx>
        <c:axId val="994159536"/>
        <c:scaling>
          <c:orientation val="minMax"/>
        </c:scaling>
        <c:delete val="0"/>
        <c:axPos val="b"/>
        <c:numFmt formatCode="d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994150800"/>
        <c:crosses val="autoZero"/>
        <c:auto val="1"/>
        <c:lblOffset val="100"/>
        <c:baseTimeUnit val="days"/>
      </c:dateAx>
      <c:valAx>
        <c:axId val="994150800"/>
        <c:scaling>
          <c:orientation val="minMax"/>
        </c:scaling>
        <c:delete val="1"/>
        <c:axPos val="l"/>
        <c:numFmt formatCode="[$₦-46A]#,##0" sourceLinked="1"/>
        <c:majorTickMark val="none"/>
        <c:minorTickMark val="none"/>
        <c:tickLblPos val="nextTo"/>
        <c:crossAx val="9941595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10</xdr:row>
      <xdr:rowOff>95250</xdr:rowOff>
    </xdr:from>
    <xdr:to>
      <xdr:col>4</xdr:col>
      <xdr:colOff>146050</xdr:colOff>
      <xdr:row>15</xdr:row>
      <xdr:rowOff>44450</xdr:rowOff>
    </xdr:to>
    <xdr:sp macro="" textlink="">
      <xdr:nvSpPr>
        <xdr:cNvPr id="2" name="Rectangle: Rounded Corners 1">
          <a:extLst>
            <a:ext uri="{FF2B5EF4-FFF2-40B4-BE49-F238E27FC236}">
              <a16:creationId xmlns:a16="http://schemas.microsoft.com/office/drawing/2014/main" id="{2AFD41ED-52E4-45CA-90E9-A808ACA8712A}"/>
            </a:ext>
          </a:extLst>
        </xdr:cNvPr>
        <xdr:cNvSpPr/>
      </xdr:nvSpPr>
      <xdr:spPr>
        <a:xfrm>
          <a:off x="1828800" y="1936750"/>
          <a:ext cx="755650" cy="869950"/>
        </a:xfrm>
        <a:prstGeom prst="roundRect">
          <a:avLst>
            <a:gd name="adj" fmla="val 9992"/>
          </a:avLst>
        </a:prstGeom>
        <a:solidFill>
          <a:srgbClr val="0011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4</xdr:col>
      <xdr:colOff>366486</xdr:colOff>
      <xdr:row>10</xdr:row>
      <xdr:rowOff>44450</xdr:rowOff>
    </xdr:from>
    <xdr:to>
      <xdr:col>5</xdr:col>
      <xdr:colOff>512536</xdr:colOff>
      <xdr:row>14</xdr:row>
      <xdr:rowOff>177800</xdr:rowOff>
    </xdr:to>
    <xdr:sp macro="" textlink="">
      <xdr:nvSpPr>
        <xdr:cNvPr id="3" name="Rectangle: Rounded Corners 2">
          <a:extLst>
            <a:ext uri="{FF2B5EF4-FFF2-40B4-BE49-F238E27FC236}">
              <a16:creationId xmlns:a16="http://schemas.microsoft.com/office/drawing/2014/main" id="{6F917B44-4D68-4929-A0E7-3C503C9608D1}"/>
            </a:ext>
          </a:extLst>
        </xdr:cNvPr>
        <xdr:cNvSpPr/>
      </xdr:nvSpPr>
      <xdr:spPr>
        <a:xfrm>
          <a:off x="2804886" y="1885950"/>
          <a:ext cx="755650" cy="869950"/>
        </a:xfrm>
        <a:prstGeom prst="roundRect">
          <a:avLst>
            <a:gd name="adj" fmla="val 9992"/>
          </a:avLst>
        </a:prstGeom>
        <a:solidFill>
          <a:srgbClr val="007F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19958</xdr:colOff>
      <xdr:row>16</xdr:row>
      <xdr:rowOff>120650</xdr:rowOff>
    </xdr:from>
    <xdr:to>
      <xdr:col>4</xdr:col>
      <xdr:colOff>166008</xdr:colOff>
      <xdr:row>21</xdr:row>
      <xdr:rowOff>69850</xdr:rowOff>
    </xdr:to>
    <xdr:sp macro="" textlink="">
      <xdr:nvSpPr>
        <xdr:cNvPr id="4" name="Rectangle: Rounded Corners 3">
          <a:extLst>
            <a:ext uri="{FF2B5EF4-FFF2-40B4-BE49-F238E27FC236}">
              <a16:creationId xmlns:a16="http://schemas.microsoft.com/office/drawing/2014/main" id="{5036961A-B1B8-4F30-99FD-18EE4A8CFF8B}"/>
            </a:ext>
          </a:extLst>
        </xdr:cNvPr>
        <xdr:cNvSpPr/>
      </xdr:nvSpPr>
      <xdr:spPr>
        <a:xfrm>
          <a:off x="1848758" y="3067050"/>
          <a:ext cx="755650" cy="869950"/>
        </a:xfrm>
        <a:prstGeom prst="roundRect">
          <a:avLst>
            <a:gd name="adj" fmla="val 9992"/>
          </a:avLst>
        </a:prstGeom>
        <a:solidFill>
          <a:srgbClr val="8000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4</xdr:col>
      <xdr:colOff>385536</xdr:colOff>
      <xdr:row>16</xdr:row>
      <xdr:rowOff>127000</xdr:rowOff>
    </xdr:from>
    <xdr:to>
      <xdr:col>5</xdr:col>
      <xdr:colOff>531586</xdr:colOff>
      <xdr:row>21</xdr:row>
      <xdr:rowOff>76200</xdr:rowOff>
    </xdr:to>
    <xdr:sp macro="" textlink="">
      <xdr:nvSpPr>
        <xdr:cNvPr id="5" name="Rectangle: Rounded Corners 4">
          <a:extLst>
            <a:ext uri="{FF2B5EF4-FFF2-40B4-BE49-F238E27FC236}">
              <a16:creationId xmlns:a16="http://schemas.microsoft.com/office/drawing/2014/main" id="{490BE4B2-3D9A-44BC-8410-693E1BE08D43}"/>
            </a:ext>
          </a:extLst>
        </xdr:cNvPr>
        <xdr:cNvSpPr/>
      </xdr:nvSpPr>
      <xdr:spPr>
        <a:xfrm>
          <a:off x="2823936" y="3073400"/>
          <a:ext cx="755650" cy="869950"/>
        </a:xfrm>
        <a:prstGeom prst="roundRect">
          <a:avLst>
            <a:gd name="adj" fmla="val 9992"/>
          </a:avLst>
        </a:prstGeom>
        <a:solidFill>
          <a:srgbClr val="00489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LID4096" sz="1800" kern="1200">
            <a:solidFill>
              <a:schemeClr val="lt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268431</xdr:colOff>
      <xdr:row>32</xdr:row>
      <xdr:rowOff>43296</xdr:rowOff>
    </xdr:from>
    <xdr:to>
      <xdr:col>8</xdr:col>
      <xdr:colOff>535460</xdr:colOff>
      <xdr:row>44</xdr:row>
      <xdr:rowOff>72082</xdr:rowOff>
    </xdr:to>
    <xdr:sp macro="" textlink="">
      <xdr:nvSpPr>
        <xdr:cNvPr id="43" name="Rounded Rectangle 42"/>
        <xdr:cNvSpPr/>
      </xdr:nvSpPr>
      <xdr:spPr>
        <a:xfrm>
          <a:off x="268431" y="5974539"/>
          <a:ext cx="5127353" cy="2253002"/>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274320" rtlCol="0" anchor="t"/>
        <a:lstStyle/>
        <a:p>
          <a:pPr algn="l"/>
          <a:endParaRPr lang="en-US" sz="1100"/>
        </a:p>
      </xdr:txBody>
    </xdr:sp>
    <xdr:clientData/>
  </xdr:twoCellAnchor>
  <xdr:twoCellAnchor>
    <xdr:from>
      <xdr:col>22</xdr:col>
      <xdr:colOff>576648</xdr:colOff>
      <xdr:row>11</xdr:row>
      <xdr:rowOff>53408</xdr:rowOff>
    </xdr:from>
    <xdr:to>
      <xdr:col>31</xdr:col>
      <xdr:colOff>211562</xdr:colOff>
      <xdr:row>30</xdr:row>
      <xdr:rowOff>102086</xdr:rowOff>
    </xdr:to>
    <xdr:sp macro="" textlink="">
      <xdr:nvSpPr>
        <xdr:cNvPr id="42" name="Rounded Rectangle 41"/>
        <xdr:cNvSpPr/>
      </xdr:nvSpPr>
      <xdr:spPr>
        <a:xfrm>
          <a:off x="13942540" y="2092273"/>
          <a:ext cx="5102779" cy="3570354"/>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274320" rtlCol="0" anchor="t"/>
        <a:lstStyle/>
        <a:p>
          <a:pPr algn="l"/>
          <a:endParaRPr lang="en-US" sz="1100"/>
        </a:p>
      </xdr:txBody>
    </xdr:sp>
    <xdr:clientData/>
  </xdr:twoCellAnchor>
  <xdr:twoCellAnchor>
    <xdr:from>
      <xdr:col>15</xdr:col>
      <xdr:colOff>216243</xdr:colOff>
      <xdr:row>11</xdr:row>
      <xdr:rowOff>82848</xdr:rowOff>
    </xdr:from>
    <xdr:to>
      <xdr:col>22</xdr:col>
      <xdr:colOff>223964</xdr:colOff>
      <xdr:row>31</xdr:row>
      <xdr:rowOff>18724</xdr:rowOff>
    </xdr:to>
    <xdr:sp macro="" textlink="">
      <xdr:nvSpPr>
        <xdr:cNvPr id="39" name="Rounded Rectangle 38"/>
        <xdr:cNvSpPr/>
      </xdr:nvSpPr>
      <xdr:spPr>
        <a:xfrm>
          <a:off x="9329351" y="2121713"/>
          <a:ext cx="4260505" cy="3642903"/>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274320" rtlCol="0" anchor="t"/>
        <a:lstStyle/>
        <a:p>
          <a:pPr algn="l"/>
          <a:endParaRPr lang="en-US" sz="1100"/>
        </a:p>
      </xdr:txBody>
    </xdr:sp>
    <xdr:clientData/>
  </xdr:twoCellAnchor>
  <xdr:twoCellAnchor>
    <xdr:from>
      <xdr:col>8</xdr:col>
      <xdr:colOff>411891</xdr:colOff>
      <xdr:row>11</xdr:row>
      <xdr:rowOff>84124</xdr:rowOff>
    </xdr:from>
    <xdr:to>
      <xdr:col>14</xdr:col>
      <xdr:colOff>542244</xdr:colOff>
      <xdr:row>31</xdr:row>
      <xdr:rowOff>46571</xdr:rowOff>
    </xdr:to>
    <xdr:sp macro="" textlink="">
      <xdr:nvSpPr>
        <xdr:cNvPr id="34" name="Rounded Rectangle 33"/>
        <xdr:cNvSpPr/>
      </xdr:nvSpPr>
      <xdr:spPr>
        <a:xfrm>
          <a:off x="5272215" y="2122989"/>
          <a:ext cx="3775597" cy="3669474"/>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274320" rtlCol="0" anchor="t"/>
        <a:lstStyle/>
        <a:p>
          <a:pPr algn="l"/>
          <a:endParaRPr lang="en-US" sz="1100"/>
        </a:p>
      </xdr:txBody>
    </xdr:sp>
    <xdr:clientData/>
  </xdr:twoCellAnchor>
  <xdr:twoCellAnchor>
    <xdr:from>
      <xdr:col>0</xdr:col>
      <xdr:colOff>339811</xdr:colOff>
      <xdr:row>11</xdr:row>
      <xdr:rowOff>77465</xdr:rowOff>
    </xdr:from>
    <xdr:to>
      <xdr:col>8</xdr:col>
      <xdr:colOff>131888</xdr:colOff>
      <xdr:row>31</xdr:row>
      <xdr:rowOff>94784</xdr:rowOff>
    </xdr:to>
    <xdr:sp macro="" textlink="">
      <xdr:nvSpPr>
        <xdr:cNvPr id="31" name="Rounded Rectangle 30"/>
        <xdr:cNvSpPr/>
      </xdr:nvSpPr>
      <xdr:spPr>
        <a:xfrm>
          <a:off x="339811" y="2116330"/>
          <a:ext cx="4652401" cy="3724346"/>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274320" rtlCol="0" anchor="t"/>
        <a:lstStyle/>
        <a:p>
          <a:pPr algn="l"/>
          <a:endParaRPr lang="en-US" sz="1100"/>
        </a:p>
      </xdr:txBody>
    </xdr:sp>
    <xdr:clientData/>
  </xdr:twoCellAnchor>
  <xdr:twoCellAnchor>
    <xdr:from>
      <xdr:col>1</xdr:col>
      <xdr:colOff>216243</xdr:colOff>
      <xdr:row>4</xdr:row>
      <xdr:rowOff>27325</xdr:rowOff>
    </xdr:from>
    <xdr:to>
      <xdr:col>5</xdr:col>
      <xdr:colOff>442105</xdr:colOff>
      <xdr:row>10</xdr:row>
      <xdr:rowOff>89072</xdr:rowOff>
    </xdr:to>
    <xdr:sp macro="" textlink="">
      <xdr:nvSpPr>
        <xdr:cNvPr id="4" name="Rounded Rectangle 3"/>
        <xdr:cNvSpPr/>
      </xdr:nvSpPr>
      <xdr:spPr>
        <a:xfrm>
          <a:off x="823784" y="768730"/>
          <a:ext cx="2656024" cy="1173856"/>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61784</xdr:colOff>
      <xdr:row>3</xdr:row>
      <xdr:rowOff>150891</xdr:rowOff>
    </xdr:from>
    <xdr:to>
      <xdr:col>23</xdr:col>
      <xdr:colOff>596901</xdr:colOff>
      <xdr:row>10</xdr:row>
      <xdr:rowOff>27287</xdr:rowOff>
    </xdr:to>
    <xdr:sp macro="" textlink="">
      <xdr:nvSpPr>
        <xdr:cNvPr id="6" name="Rounded Rectangle 5"/>
        <xdr:cNvSpPr/>
      </xdr:nvSpPr>
      <xdr:spPr>
        <a:xfrm>
          <a:off x="11605054" y="706945"/>
          <a:ext cx="2965279" cy="1173856"/>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308919</xdr:colOff>
      <xdr:row>4</xdr:row>
      <xdr:rowOff>34944</xdr:rowOff>
    </xdr:from>
    <xdr:to>
      <xdr:col>18</xdr:col>
      <xdr:colOff>38686</xdr:colOff>
      <xdr:row>10</xdr:row>
      <xdr:rowOff>96691</xdr:rowOff>
    </xdr:to>
    <xdr:sp macro="" textlink="">
      <xdr:nvSpPr>
        <xdr:cNvPr id="7" name="Rounded Rectangle 6"/>
        <xdr:cNvSpPr/>
      </xdr:nvSpPr>
      <xdr:spPr>
        <a:xfrm>
          <a:off x="8206946" y="776349"/>
          <a:ext cx="2767470" cy="1173856"/>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82378</xdr:colOff>
      <xdr:row>3</xdr:row>
      <xdr:rowOff>171486</xdr:rowOff>
    </xdr:from>
    <xdr:to>
      <xdr:col>11</xdr:col>
      <xdr:colOff>339441</xdr:colOff>
      <xdr:row>10</xdr:row>
      <xdr:rowOff>47882</xdr:rowOff>
    </xdr:to>
    <xdr:sp macro="" textlink="">
      <xdr:nvSpPr>
        <xdr:cNvPr id="8" name="Rounded Rectangle 7"/>
        <xdr:cNvSpPr/>
      </xdr:nvSpPr>
      <xdr:spPr>
        <a:xfrm>
          <a:off x="4335162" y="727540"/>
          <a:ext cx="2687225" cy="1173856"/>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10297</xdr:colOff>
      <xdr:row>3</xdr:row>
      <xdr:rowOff>138956</xdr:rowOff>
    </xdr:from>
    <xdr:to>
      <xdr:col>29</xdr:col>
      <xdr:colOff>452852</xdr:colOff>
      <xdr:row>10</xdr:row>
      <xdr:rowOff>15352</xdr:rowOff>
    </xdr:to>
    <xdr:sp macro="" textlink="">
      <xdr:nvSpPr>
        <xdr:cNvPr id="9" name="Rounded Rectangle 8"/>
        <xdr:cNvSpPr/>
      </xdr:nvSpPr>
      <xdr:spPr>
        <a:xfrm>
          <a:off x="15198811" y="695010"/>
          <a:ext cx="2872717" cy="1173856"/>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502675</xdr:colOff>
      <xdr:row>6</xdr:row>
      <xdr:rowOff>53709</xdr:rowOff>
    </xdr:from>
    <xdr:to>
      <xdr:col>2</xdr:col>
      <xdr:colOff>508246</xdr:colOff>
      <xdr:row>9</xdr:row>
      <xdr:rowOff>79186</xdr:rowOff>
    </xdr:to>
    <xdr:sp macro="" textlink="">
      <xdr:nvSpPr>
        <xdr:cNvPr id="10" name="Oval 9"/>
        <xdr:cNvSpPr/>
      </xdr:nvSpPr>
      <xdr:spPr>
        <a:xfrm>
          <a:off x="1110216" y="1165817"/>
          <a:ext cx="613111" cy="581531"/>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234601</xdr:colOff>
      <xdr:row>5</xdr:row>
      <xdr:rowOff>123156</xdr:rowOff>
    </xdr:from>
    <xdr:to>
      <xdr:col>20</xdr:col>
      <xdr:colOff>241865</xdr:colOff>
      <xdr:row>8</xdr:row>
      <xdr:rowOff>153130</xdr:rowOff>
    </xdr:to>
    <xdr:sp macro="" textlink="">
      <xdr:nvSpPr>
        <xdr:cNvPr id="12" name="Oval 11"/>
        <xdr:cNvSpPr/>
      </xdr:nvSpPr>
      <xdr:spPr>
        <a:xfrm>
          <a:off x="11777871" y="1049913"/>
          <a:ext cx="614805" cy="586028"/>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553779</xdr:colOff>
      <xdr:row>6</xdr:row>
      <xdr:rowOff>2266</xdr:rowOff>
    </xdr:from>
    <xdr:to>
      <xdr:col>14</xdr:col>
      <xdr:colOff>559347</xdr:colOff>
      <xdr:row>9</xdr:row>
      <xdr:rowOff>32240</xdr:rowOff>
    </xdr:to>
    <xdr:sp macro="" textlink="">
      <xdr:nvSpPr>
        <xdr:cNvPr id="13" name="Oval 12"/>
        <xdr:cNvSpPr/>
      </xdr:nvSpPr>
      <xdr:spPr>
        <a:xfrm>
          <a:off x="8451806" y="1114374"/>
          <a:ext cx="613109" cy="586028"/>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309359</xdr:colOff>
      <xdr:row>5</xdr:row>
      <xdr:rowOff>177687</xdr:rowOff>
    </xdr:from>
    <xdr:to>
      <xdr:col>8</xdr:col>
      <xdr:colOff>316625</xdr:colOff>
      <xdr:row>9</xdr:row>
      <xdr:rowOff>17813</xdr:rowOff>
    </xdr:to>
    <xdr:sp macro="" textlink="">
      <xdr:nvSpPr>
        <xdr:cNvPr id="14" name="Oval 13"/>
        <xdr:cNvSpPr/>
      </xdr:nvSpPr>
      <xdr:spPr>
        <a:xfrm>
          <a:off x="4562143" y="1104444"/>
          <a:ext cx="614806" cy="581531"/>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344538</xdr:colOff>
      <xdr:row>5</xdr:row>
      <xdr:rowOff>51486</xdr:rowOff>
    </xdr:from>
    <xdr:to>
      <xdr:col>26</xdr:col>
      <xdr:colOff>350107</xdr:colOff>
      <xdr:row>8</xdr:row>
      <xdr:rowOff>81460</xdr:rowOff>
    </xdr:to>
    <xdr:sp macro="" textlink="">
      <xdr:nvSpPr>
        <xdr:cNvPr id="15" name="Oval 14"/>
        <xdr:cNvSpPr/>
      </xdr:nvSpPr>
      <xdr:spPr>
        <a:xfrm>
          <a:off x="15533052" y="978243"/>
          <a:ext cx="613109" cy="586028"/>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485128</xdr:colOff>
      <xdr:row>5</xdr:row>
      <xdr:rowOff>49142</xdr:rowOff>
    </xdr:from>
    <xdr:to>
      <xdr:col>5</xdr:col>
      <xdr:colOff>240539</xdr:colOff>
      <xdr:row>6</xdr:row>
      <xdr:rowOff>184023</xdr:rowOff>
    </xdr:to>
    <xdr:sp macro="" textlink="">
      <xdr:nvSpPr>
        <xdr:cNvPr id="16" name="TextBox 15"/>
        <xdr:cNvSpPr txBox="1"/>
      </xdr:nvSpPr>
      <xdr:spPr>
        <a:xfrm>
          <a:off x="1700209" y="975899"/>
          <a:ext cx="1578033" cy="3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Segoe UI Semibold" panose="020B0702040204020203" pitchFamily="34" charset="0"/>
              <a:cs typeface="Segoe UI Semibold" panose="020B0702040204020203" pitchFamily="34" charset="0"/>
            </a:rPr>
            <a:t>TOTAL SALES </a:t>
          </a:r>
        </a:p>
      </xdr:txBody>
    </xdr:sp>
    <xdr:clientData/>
  </xdr:twoCellAnchor>
  <xdr:twoCellAnchor>
    <xdr:from>
      <xdr:col>20</xdr:col>
      <xdr:colOff>490421</xdr:colOff>
      <xdr:row>4</xdr:row>
      <xdr:rowOff>172709</xdr:rowOff>
    </xdr:from>
    <xdr:to>
      <xdr:col>23</xdr:col>
      <xdr:colOff>240346</xdr:colOff>
      <xdr:row>6</xdr:row>
      <xdr:rowOff>122238</xdr:rowOff>
    </xdr:to>
    <xdr:sp macro="" textlink="">
      <xdr:nvSpPr>
        <xdr:cNvPr id="17" name="TextBox 16"/>
        <xdr:cNvSpPr txBox="1"/>
      </xdr:nvSpPr>
      <xdr:spPr>
        <a:xfrm>
          <a:off x="12641232" y="914114"/>
          <a:ext cx="1572546" cy="3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Segoe UI Semibold" panose="020B0702040204020203" pitchFamily="34" charset="0"/>
              <a:cs typeface="Segoe UI Semibold" panose="020B0702040204020203" pitchFamily="34" charset="0"/>
            </a:rPr>
            <a:t>AVERAGE</a:t>
          </a:r>
          <a:r>
            <a:rPr lang="en-US" sz="1200" b="1" baseline="0">
              <a:solidFill>
                <a:schemeClr val="tx1"/>
              </a:solidFill>
              <a:latin typeface="Segoe UI Semibold" panose="020B0702040204020203" pitchFamily="34" charset="0"/>
              <a:cs typeface="Segoe UI Semibold" panose="020B0702040204020203" pitchFamily="34" charset="0"/>
            </a:rPr>
            <a:t> (AOV)</a:t>
          </a:r>
          <a:endParaRPr lang="en-US" sz="12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143367</xdr:colOff>
      <xdr:row>5</xdr:row>
      <xdr:rowOff>43873</xdr:rowOff>
    </xdr:from>
    <xdr:to>
      <xdr:col>17</xdr:col>
      <xdr:colOff>536938</xdr:colOff>
      <xdr:row>7</xdr:row>
      <xdr:rowOff>28112</xdr:rowOff>
    </xdr:to>
    <xdr:sp macro="" textlink="">
      <xdr:nvSpPr>
        <xdr:cNvPr id="18" name="TextBox 17"/>
        <xdr:cNvSpPr txBox="1"/>
      </xdr:nvSpPr>
      <xdr:spPr>
        <a:xfrm>
          <a:off x="9256475" y="970630"/>
          <a:ext cx="1608652" cy="35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Segoe UI Semibold" panose="020B0702040204020203" pitchFamily="34" charset="0"/>
              <a:cs typeface="Segoe UI Semibold" panose="020B0702040204020203" pitchFamily="34" charset="0"/>
            </a:rPr>
            <a:t>#</a:t>
          </a:r>
          <a:r>
            <a:rPr lang="en-US" sz="1200" b="1" baseline="0">
              <a:solidFill>
                <a:schemeClr val="tx1"/>
              </a:solidFill>
              <a:latin typeface="Segoe UI Semibold" panose="020B0702040204020203" pitchFamily="34" charset="0"/>
              <a:cs typeface="Segoe UI Semibold" panose="020B0702040204020203" pitchFamily="34" charset="0"/>
            </a:rPr>
            <a:t> TRANSACTIONS</a:t>
          </a:r>
          <a:endParaRPr lang="en-US" sz="12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422122</xdr:colOff>
      <xdr:row>5</xdr:row>
      <xdr:rowOff>7952</xdr:rowOff>
    </xdr:from>
    <xdr:to>
      <xdr:col>11</xdr:col>
      <xdr:colOff>172046</xdr:colOff>
      <xdr:row>6</xdr:row>
      <xdr:rowOff>142833</xdr:rowOff>
    </xdr:to>
    <xdr:sp macro="" textlink="">
      <xdr:nvSpPr>
        <xdr:cNvPr id="19" name="TextBox 18"/>
        <xdr:cNvSpPr txBox="1"/>
      </xdr:nvSpPr>
      <xdr:spPr>
        <a:xfrm>
          <a:off x="5282446" y="934709"/>
          <a:ext cx="1572546" cy="3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Segoe UI Semibold" panose="020B0702040204020203" pitchFamily="34" charset="0"/>
              <a:cs typeface="Segoe UI Semibold" panose="020B0702040204020203" pitchFamily="34" charset="0"/>
            </a:rPr>
            <a:t>QUANTIT</a:t>
          </a:r>
          <a:r>
            <a:rPr lang="en-US" sz="1200" b="1" baseline="0">
              <a:solidFill>
                <a:schemeClr val="tx1"/>
              </a:solidFill>
              <a:latin typeface="Segoe UI Semibold" panose="020B0702040204020203" pitchFamily="34" charset="0"/>
              <a:cs typeface="Segoe UI Semibold" panose="020B0702040204020203" pitchFamily="34" charset="0"/>
            </a:rPr>
            <a:t>Y SOLD </a:t>
          </a:r>
          <a:endParaRPr lang="en-US" sz="12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26</xdr:col>
      <xdr:colOff>510075</xdr:colOff>
      <xdr:row>4</xdr:row>
      <xdr:rowOff>152114</xdr:rowOff>
    </xdr:from>
    <xdr:to>
      <xdr:col>29</xdr:col>
      <xdr:colOff>265486</xdr:colOff>
      <xdr:row>6</xdr:row>
      <xdr:rowOff>101643</xdr:rowOff>
    </xdr:to>
    <xdr:sp macro="" textlink="">
      <xdr:nvSpPr>
        <xdr:cNvPr id="20" name="TextBox 19"/>
        <xdr:cNvSpPr txBox="1"/>
      </xdr:nvSpPr>
      <xdr:spPr>
        <a:xfrm>
          <a:off x="16306129" y="893519"/>
          <a:ext cx="1578033" cy="3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Segoe UI Semibold" panose="020B0702040204020203" pitchFamily="34" charset="0"/>
              <a:cs typeface="Segoe UI Semibold" panose="020B0702040204020203" pitchFamily="34" charset="0"/>
            </a:rPr>
            <a:t>PRODUCTS</a:t>
          </a:r>
          <a:r>
            <a:rPr lang="en-US" sz="1200" b="1" baseline="0">
              <a:solidFill>
                <a:schemeClr val="tx1"/>
              </a:solidFill>
              <a:latin typeface="Segoe UI Semibold" panose="020B0702040204020203" pitchFamily="34" charset="0"/>
              <a:cs typeface="Segoe UI Semibold" panose="020B0702040204020203" pitchFamily="34" charset="0"/>
            </a:rPr>
            <a:t> </a:t>
          </a:r>
          <a:endParaRPr lang="en-US" sz="12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237831</xdr:colOff>
      <xdr:row>7</xdr:row>
      <xdr:rowOff>120293</xdr:rowOff>
    </xdr:from>
    <xdr:to>
      <xdr:col>5</xdr:col>
      <xdr:colOff>113422</xdr:colOff>
      <xdr:row>9</xdr:row>
      <xdr:rowOff>176403</xdr:rowOff>
    </xdr:to>
    <xdr:sp macro="" textlink="Analysis!D7">
      <xdr:nvSpPr>
        <xdr:cNvPr id="24" name="TextBox 23"/>
        <xdr:cNvSpPr txBox="1"/>
      </xdr:nvSpPr>
      <xdr:spPr>
        <a:xfrm>
          <a:off x="2060453" y="1417752"/>
          <a:ext cx="1090672" cy="42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FA1664-30AA-4793-AE80-AB09C87394D8}" type="TxLink">
            <a:rPr lang="en-US" sz="1800" b="0" i="0" u="none" strike="noStrike">
              <a:solidFill>
                <a:schemeClr val="bg1"/>
              </a:solidFill>
              <a:latin typeface="Calibri"/>
              <a:ea typeface="Calibri"/>
              <a:cs typeface="Calibri"/>
            </a:rPr>
            <a:pPr algn="ctr"/>
            <a:t>₦32.4M</a:t>
          </a:fld>
          <a:endParaRPr lang="en-US" sz="1800">
            <a:solidFill>
              <a:schemeClr val="bg1"/>
            </a:solidFill>
          </a:endParaRPr>
        </a:p>
      </xdr:txBody>
    </xdr:sp>
    <xdr:clientData/>
  </xdr:twoCellAnchor>
  <xdr:twoCellAnchor>
    <xdr:from>
      <xdr:col>27</xdr:col>
      <xdr:colOff>255157</xdr:colOff>
      <xdr:row>6</xdr:row>
      <xdr:rowOff>174033</xdr:rowOff>
    </xdr:from>
    <xdr:to>
      <xdr:col>29</xdr:col>
      <xdr:colOff>130750</xdr:colOff>
      <xdr:row>9</xdr:row>
      <xdr:rowOff>48303</xdr:rowOff>
    </xdr:to>
    <xdr:sp macro="" textlink="Analysis!J4">
      <xdr:nvSpPr>
        <xdr:cNvPr id="25" name="TextBox 24"/>
        <xdr:cNvSpPr txBox="1"/>
      </xdr:nvSpPr>
      <xdr:spPr>
        <a:xfrm>
          <a:off x="16658752" y="1286141"/>
          <a:ext cx="1090674" cy="43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156169-E851-465D-AB24-6D70074F991A}" type="TxLink">
            <a:rPr lang="en-US" sz="2000" b="0" i="0" u="none" strike="noStrike">
              <a:solidFill>
                <a:schemeClr val="bg1"/>
              </a:solidFill>
              <a:latin typeface="Calibri"/>
              <a:ea typeface="Calibri"/>
              <a:cs typeface="Calibri"/>
            </a:rPr>
            <a:pPr algn="ctr"/>
            <a:t>10</a:t>
          </a:fld>
          <a:endParaRPr lang="en-US" sz="3200">
            <a:solidFill>
              <a:schemeClr val="bg1"/>
            </a:solidFill>
          </a:endParaRPr>
        </a:p>
      </xdr:txBody>
    </xdr:sp>
    <xdr:clientData/>
  </xdr:twoCellAnchor>
  <xdr:twoCellAnchor>
    <xdr:from>
      <xdr:col>21</xdr:col>
      <xdr:colOff>132658</xdr:colOff>
      <xdr:row>7</xdr:row>
      <xdr:rowOff>61785</xdr:rowOff>
    </xdr:from>
    <xdr:to>
      <xdr:col>23</xdr:col>
      <xdr:colOff>8250</xdr:colOff>
      <xdr:row>9</xdr:row>
      <xdr:rowOff>124916</xdr:rowOff>
    </xdr:to>
    <xdr:sp macro="" textlink="Analysis!E7">
      <xdr:nvSpPr>
        <xdr:cNvPr id="26" name="TextBox 25"/>
        <xdr:cNvSpPr txBox="1"/>
      </xdr:nvSpPr>
      <xdr:spPr>
        <a:xfrm>
          <a:off x="12891009" y="1359244"/>
          <a:ext cx="1090673" cy="43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41B0CC-C6F6-44E8-840A-942DE94A9AC7}" type="TxLink">
            <a:rPr lang="en-US" sz="1800" b="0" i="0" u="none" strike="noStrike">
              <a:solidFill>
                <a:schemeClr val="bg1"/>
              </a:solidFill>
              <a:latin typeface="Calibri"/>
              <a:ea typeface="Calibri"/>
              <a:cs typeface="Calibri"/>
            </a:rPr>
            <a:pPr algn="ctr"/>
            <a:t>₦32.4K</a:t>
          </a:fld>
          <a:endParaRPr lang="en-US" sz="1800">
            <a:solidFill>
              <a:schemeClr val="bg1"/>
            </a:solidFill>
          </a:endParaRPr>
        </a:p>
      </xdr:txBody>
    </xdr:sp>
    <xdr:clientData/>
  </xdr:twoCellAnchor>
  <xdr:twoCellAnchor>
    <xdr:from>
      <xdr:col>15</xdr:col>
      <xdr:colOff>480051</xdr:colOff>
      <xdr:row>7</xdr:row>
      <xdr:rowOff>105052</xdr:rowOff>
    </xdr:from>
    <xdr:to>
      <xdr:col>17</xdr:col>
      <xdr:colOff>355644</xdr:colOff>
      <xdr:row>9</xdr:row>
      <xdr:rowOff>161162</xdr:rowOff>
    </xdr:to>
    <xdr:sp macro="" textlink="Analysis!C7">
      <xdr:nvSpPr>
        <xdr:cNvPr id="27" name="TextBox 26"/>
        <xdr:cNvSpPr txBox="1"/>
      </xdr:nvSpPr>
      <xdr:spPr>
        <a:xfrm>
          <a:off x="9593159" y="1402511"/>
          <a:ext cx="1090674" cy="42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D4AF3E-C0A1-48B7-BCDD-926530C4EC77}" type="TxLink">
            <a:rPr lang="en-US" sz="1800" b="0" i="0" u="none" strike="noStrike">
              <a:solidFill>
                <a:schemeClr val="bg1"/>
              </a:solidFill>
              <a:latin typeface="Calibri"/>
              <a:ea typeface="Calibri"/>
              <a:cs typeface="Calibri"/>
            </a:rPr>
            <a:pPr algn="ctr"/>
            <a:t> 1,000 </a:t>
          </a:fld>
          <a:endParaRPr lang="en-US" sz="2800">
            <a:solidFill>
              <a:schemeClr val="bg1"/>
            </a:solidFill>
          </a:endParaRPr>
        </a:p>
      </xdr:txBody>
    </xdr:sp>
    <xdr:clientData/>
  </xdr:twoCellAnchor>
  <xdr:twoCellAnchor>
    <xdr:from>
      <xdr:col>9</xdr:col>
      <xdr:colOff>137573</xdr:colOff>
      <xdr:row>7</xdr:row>
      <xdr:rowOff>52732</xdr:rowOff>
    </xdr:from>
    <xdr:to>
      <xdr:col>11</xdr:col>
      <xdr:colOff>13165</xdr:colOff>
      <xdr:row>9</xdr:row>
      <xdr:rowOff>112353</xdr:rowOff>
    </xdr:to>
    <xdr:sp macro="" textlink="Analysis!B7">
      <xdr:nvSpPr>
        <xdr:cNvPr id="28" name="TextBox 27"/>
        <xdr:cNvSpPr txBox="1"/>
      </xdr:nvSpPr>
      <xdr:spPr>
        <a:xfrm>
          <a:off x="5605438" y="1350191"/>
          <a:ext cx="1090673" cy="43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7FA7EE-0673-49D1-AAF0-C3B9B41DCA7E}" type="TxLink">
            <a:rPr lang="en-US" sz="1800" b="0" i="0" u="none" strike="noStrike">
              <a:solidFill>
                <a:schemeClr val="bg1"/>
              </a:solidFill>
              <a:latin typeface="Calibri"/>
              <a:ea typeface="Calibri"/>
              <a:cs typeface="Calibri"/>
            </a:rPr>
            <a:pPr algn="ctr"/>
            <a:t> 9,970 </a:t>
          </a:fld>
          <a:endParaRPr lang="en-US" sz="1800">
            <a:solidFill>
              <a:schemeClr val="bg1"/>
            </a:solidFill>
          </a:endParaRPr>
        </a:p>
      </xdr:txBody>
    </xdr:sp>
    <xdr:clientData/>
  </xdr:twoCellAnchor>
  <xdr:twoCellAnchor>
    <xdr:from>
      <xdr:col>0</xdr:col>
      <xdr:colOff>483974</xdr:colOff>
      <xdr:row>13</xdr:row>
      <xdr:rowOff>95249</xdr:rowOff>
    </xdr:from>
    <xdr:to>
      <xdr:col>7</xdr:col>
      <xdr:colOff>586946</xdr:colOff>
      <xdr:row>27</xdr:row>
      <xdr:rowOff>133864</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51487</xdr:colOff>
      <xdr:row>11</xdr:row>
      <xdr:rowOff>153949</xdr:rowOff>
    </xdr:from>
    <xdr:to>
      <xdr:col>7</xdr:col>
      <xdr:colOff>454690</xdr:colOff>
      <xdr:row>13</xdr:row>
      <xdr:rowOff>169991</xdr:rowOff>
    </xdr:to>
    <xdr:sp macro="" textlink="">
      <xdr:nvSpPr>
        <xdr:cNvPr id="5" name="TextBox 4"/>
        <xdr:cNvSpPr txBox="1"/>
      </xdr:nvSpPr>
      <xdr:spPr>
        <a:xfrm>
          <a:off x="659028" y="2192814"/>
          <a:ext cx="4048446" cy="38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Segoe UI Semibold" panose="020B0702040204020203" pitchFamily="34" charset="0"/>
              <a:cs typeface="Segoe UI Semibold" panose="020B0702040204020203" pitchFamily="34" charset="0"/>
            </a:rPr>
            <a:t>REVENUE</a:t>
          </a:r>
          <a:r>
            <a:rPr lang="en-US" sz="1200" b="1" baseline="0">
              <a:solidFill>
                <a:schemeClr val="tx1"/>
              </a:solidFill>
              <a:latin typeface="Segoe UI Semibold" panose="020B0702040204020203" pitchFamily="34" charset="0"/>
              <a:cs typeface="Segoe UI Semibold" panose="020B0702040204020203" pitchFamily="34" charset="0"/>
            </a:rPr>
            <a:t> GENERATED BY EACH PRODUCT</a:t>
          </a:r>
          <a:endParaRPr lang="en-US" sz="12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203048</xdr:colOff>
      <xdr:row>27</xdr:row>
      <xdr:rowOff>129400</xdr:rowOff>
    </xdr:from>
    <xdr:to>
      <xdr:col>7</xdr:col>
      <xdr:colOff>92676</xdr:colOff>
      <xdr:row>31</xdr:row>
      <xdr:rowOff>153465</xdr:rowOff>
    </xdr:to>
    <xdr:sp macro="" textlink="Analysis!I24">
      <xdr:nvSpPr>
        <xdr:cNvPr id="32" name="Rectangle 31"/>
        <xdr:cNvSpPr/>
      </xdr:nvSpPr>
      <xdr:spPr>
        <a:xfrm>
          <a:off x="810589" y="5133886"/>
          <a:ext cx="3534871" cy="7654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358C4F0-2AE5-43F7-8509-C66ED7596CD9}" type="TxLink">
            <a:rPr lang="en-US" sz="1200" b="0" i="0" u="none" strike="noStrike">
              <a:solidFill>
                <a:schemeClr val="bg1">
                  <a:lumMod val="95000"/>
                </a:schemeClr>
              </a:solidFill>
              <a:latin typeface="Calibri"/>
              <a:ea typeface="Calibri"/>
              <a:cs typeface="Calibri"/>
            </a:rPr>
            <a:pPr algn="l"/>
            <a:t>Sales are highly concentrated in Rice (5kg) and Chicken , which accounts for 63%Total sales across10 products.</a:t>
          </a:fld>
          <a:endParaRPr lang="en-US" sz="1200">
            <a:solidFill>
              <a:schemeClr val="bg1">
                <a:lumMod val="95000"/>
              </a:schemeClr>
            </a:solidFill>
          </a:endParaRPr>
        </a:p>
      </xdr:txBody>
    </xdr:sp>
    <xdr:clientData/>
  </xdr:twoCellAnchor>
  <xdr:twoCellAnchor>
    <xdr:from>
      <xdr:col>9</xdr:col>
      <xdr:colOff>51252</xdr:colOff>
      <xdr:row>13</xdr:row>
      <xdr:rowOff>82845</xdr:rowOff>
    </xdr:from>
    <xdr:to>
      <xdr:col>14</xdr:col>
      <xdr:colOff>380297</xdr:colOff>
      <xdr:row>27</xdr:row>
      <xdr:rowOff>113271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133864</xdr:colOff>
      <xdr:row>27</xdr:row>
      <xdr:rowOff>155396</xdr:rowOff>
    </xdr:from>
    <xdr:to>
      <xdr:col>14</xdr:col>
      <xdr:colOff>576646</xdr:colOff>
      <xdr:row>31</xdr:row>
      <xdr:rowOff>112101</xdr:rowOff>
    </xdr:to>
    <xdr:sp macro="" textlink="'Analysis 2'!J8">
      <xdr:nvSpPr>
        <xdr:cNvPr id="35" name="Rectangle 34"/>
        <xdr:cNvSpPr/>
      </xdr:nvSpPr>
      <xdr:spPr>
        <a:xfrm>
          <a:off x="5601729" y="5159882"/>
          <a:ext cx="3480485" cy="6981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7ABA667-87C9-4836-9595-214D8B85942A}" type="TxLink">
            <a:rPr lang="en-US" sz="1200" b="0" i="0" u="none" strike="noStrike">
              <a:solidFill>
                <a:schemeClr val="bg1">
                  <a:lumMod val="95000"/>
                </a:schemeClr>
              </a:solidFill>
              <a:latin typeface="Calibri"/>
              <a:ea typeface="Calibri"/>
              <a:cs typeface="Calibri"/>
            </a:rPr>
            <a:pPr algn="l"/>
            <a:t>Lagos is the lowest performing region with 22.3% contributed to the total revenue generated</a:t>
          </a:fld>
          <a:endParaRPr lang="en-US" sz="1200">
            <a:solidFill>
              <a:schemeClr val="bg1">
                <a:lumMod val="95000"/>
              </a:schemeClr>
            </a:solidFill>
          </a:endParaRPr>
        </a:p>
      </xdr:txBody>
    </xdr:sp>
    <xdr:clientData/>
  </xdr:twoCellAnchor>
  <xdr:twoCellAnchor>
    <xdr:from>
      <xdr:col>9</xdr:col>
      <xdr:colOff>195648</xdr:colOff>
      <xdr:row>12</xdr:row>
      <xdr:rowOff>48210</xdr:rowOff>
    </xdr:from>
    <xdr:to>
      <xdr:col>14</xdr:col>
      <xdr:colOff>556053</xdr:colOff>
      <xdr:row>14</xdr:row>
      <xdr:rowOff>123567</xdr:rowOff>
    </xdr:to>
    <xdr:sp macro="" textlink="">
      <xdr:nvSpPr>
        <xdr:cNvPr id="21" name="TextBox 20"/>
        <xdr:cNvSpPr txBox="1"/>
      </xdr:nvSpPr>
      <xdr:spPr>
        <a:xfrm>
          <a:off x="5663513" y="2272426"/>
          <a:ext cx="3398108" cy="44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GENERATED BY EACH REGION</a:t>
          </a:r>
        </a:p>
      </xdr:txBody>
    </xdr:sp>
    <xdr:clientData/>
  </xdr:twoCellAnchor>
  <xdr:twoCellAnchor editAs="oneCell">
    <xdr:from>
      <xdr:col>20</xdr:col>
      <xdr:colOff>370703</xdr:colOff>
      <xdr:row>33</xdr:row>
      <xdr:rowOff>123568</xdr:rowOff>
    </xdr:from>
    <xdr:to>
      <xdr:col>25</xdr:col>
      <xdr:colOff>291206</xdr:colOff>
      <xdr:row>45</xdr:row>
      <xdr:rowOff>0</xdr:rowOff>
    </xdr:to>
    <mc:AlternateContent xmlns:mc="http://schemas.openxmlformats.org/markup-compatibility/2006" xmlns:a14="http://schemas.microsoft.com/office/drawing/2010/main">
      <mc:Choice Requires="a14">
        <xdr:graphicFrame macro="">
          <xdr:nvGraphicFramePr>
            <xdr:cNvPr id="3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21514" y="6240163"/>
              <a:ext cx="2958206" cy="2100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307279</xdr:colOff>
      <xdr:row>11</xdr:row>
      <xdr:rowOff>121227</xdr:rowOff>
    </xdr:from>
    <xdr:to>
      <xdr:col>21</xdr:col>
      <xdr:colOff>603093</xdr:colOff>
      <xdr:row>14</xdr:row>
      <xdr:rowOff>60613</xdr:rowOff>
    </xdr:to>
    <xdr:sp macro="" textlink="">
      <xdr:nvSpPr>
        <xdr:cNvPr id="22" name="TextBox 21"/>
        <xdr:cNvSpPr txBox="1"/>
      </xdr:nvSpPr>
      <xdr:spPr>
        <a:xfrm>
          <a:off x="10027928" y="2160092"/>
          <a:ext cx="3333516" cy="49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REVENUE GENERATED BY EACH SALES</a:t>
          </a:r>
          <a:r>
            <a:rPr lang="en-US" sz="1400" b="1" baseline="0"/>
            <a:t> REPRESENTATIVE</a:t>
          </a:r>
          <a:endParaRPr lang="en-US" sz="1400" b="1"/>
        </a:p>
      </xdr:txBody>
    </xdr:sp>
    <xdr:clientData/>
  </xdr:twoCellAnchor>
  <xdr:twoCellAnchor>
    <xdr:from>
      <xdr:col>15</xdr:col>
      <xdr:colOff>473676</xdr:colOff>
      <xdr:row>13</xdr:row>
      <xdr:rowOff>173181</xdr:rowOff>
    </xdr:from>
    <xdr:to>
      <xdr:col>21</xdr:col>
      <xdr:colOff>566352</xdr:colOff>
      <xdr:row>26</xdr:row>
      <xdr:rowOff>8659</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494271</xdr:colOff>
      <xdr:row>26</xdr:row>
      <xdr:rowOff>150013</xdr:rowOff>
    </xdr:from>
    <xdr:to>
      <xdr:col>22</xdr:col>
      <xdr:colOff>195883</xdr:colOff>
      <xdr:row>30</xdr:row>
      <xdr:rowOff>115377</xdr:rowOff>
    </xdr:to>
    <xdr:sp macro="" textlink="'Analysis 2'!J18">
      <xdr:nvSpPr>
        <xdr:cNvPr id="23" name="Rectangle 22"/>
        <xdr:cNvSpPr/>
      </xdr:nvSpPr>
      <xdr:spPr>
        <a:xfrm>
          <a:off x="9607379" y="4969148"/>
          <a:ext cx="3954396" cy="7067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2E02E04-C9ED-4CF9-9F73-A6478AC42DBF}" type="TxLink">
            <a:rPr lang="en-US" sz="1200" b="0" i="0" u="none" strike="noStrike">
              <a:solidFill>
                <a:schemeClr val="bg1"/>
              </a:solidFill>
              <a:latin typeface="Calibri"/>
              <a:ea typeface="Calibri"/>
              <a:cs typeface="Calibri"/>
            </a:rPr>
            <a:pPr algn="l"/>
            <a:t>David leads sales performance, contributing 24.8% while Ibrahim is bottom of the list contributing only 17.4% of the total revenue</a:t>
          </a:fld>
          <a:endParaRPr lang="en-US" sz="1200">
            <a:solidFill>
              <a:schemeClr val="bg1"/>
            </a:solidFill>
          </a:endParaRPr>
        </a:p>
      </xdr:txBody>
    </xdr:sp>
    <xdr:clientData/>
  </xdr:twoCellAnchor>
  <xdr:twoCellAnchor>
    <xdr:from>
      <xdr:col>24</xdr:col>
      <xdr:colOff>333257</xdr:colOff>
      <xdr:row>11</xdr:row>
      <xdr:rowOff>160778</xdr:rowOff>
    </xdr:from>
    <xdr:to>
      <xdr:col>30</xdr:col>
      <xdr:colOff>212031</xdr:colOff>
      <xdr:row>13</xdr:row>
      <xdr:rowOff>127936</xdr:rowOff>
    </xdr:to>
    <xdr:sp macro="" textlink="">
      <xdr:nvSpPr>
        <xdr:cNvPr id="29" name="TextBox 28"/>
        <xdr:cNvSpPr txBox="1"/>
      </xdr:nvSpPr>
      <xdr:spPr>
        <a:xfrm>
          <a:off x="14914230" y="2199643"/>
          <a:ext cx="3524017" cy="337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SALES</a:t>
          </a:r>
          <a:r>
            <a:rPr lang="en-US" sz="1400" b="1" baseline="0"/>
            <a:t> TREND AND PEAK PERFORMANCE</a:t>
          </a:r>
          <a:endParaRPr lang="en-US" sz="1400" b="1"/>
        </a:p>
      </xdr:txBody>
    </xdr:sp>
    <xdr:clientData/>
  </xdr:twoCellAnchor>
  <xdr:twoCellAnchor editAs="oneCell">
    <xdr:from>
      <xdr:col>25</xdr:col>
      <xdr:colOff>494268</xdr:colOff>
      <xdr:row>33</xdr:row>
      <xdr:rowOff>164755</xdr:rowOff>
    </xdr:from>
    <xdr:to>
      <xdr:col>31</xdr:col>
      <xdr:colOff>95145</xdr:colOff>
      <xdr:row>44</xdr:row>
      <xdr:rowOff>144162</xdr:rowOff>
    </xdr:to>
    <mc:AlternateContent xmlns:mc="http://schemas.openxmlformats.org/markup-compatibility/2006" xmlns:a14="http://schemas.microsoft.com/office/drawing/2010/main">
      <mc:Choice Requires="a14">
        <xdr:graphicFrame macro="">
          <xdr:nvGraphicFramePr>
            <xdr:cNvPr id="44" name="Sales Rep"/>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5682782" y="6281350"/>
              <a:ext cx="3246120" cy="2018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247136</xdr:colOff>
      <xdr:row>26</xdr:row>
      <xdr:rowOff>102738</xdr:rowOff>
    </xdr:from>
    <xdr:to>
      <xdr:col>31</xdr:col>
      <xdr:colOff>30892</xdr:colOff>
      <xdr:row>30</xdr:row>
      <xdr:rowOff>51486</xdr:rowOff>
    </xdr:to>
    <xdr:sp macro="" textlink="'Analysis 2'!J29">
      <xdr:nvSpPr>
        <xdr:cNvPr id="38" name="Rectangle 37"/>
        <xdr:cNvSpPr/>
      </xdr:nvSpPr>
      <xdr:spPr>
        <a:xfrm>
          <a:off x="14220568" y="4921873"/>
          <a:ext cx="4644081" cy="6901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BEA2F78-3AF3-461B-8F78-8D52D116659A}" type="TxLink">
            <a:rPr lang="en-US" sz="1200" b="0" i="0" u="none" strike="noStrike">
              <a:solidFill>
                <a:schemeClr val="bg1"/>
              </a:solidFill>
              <a:latin typeface="Calibri"/>
              <a:ea typeface="Calibri"/>
              <a:cs typeface="Calibri"/>
            </a:rPr>
            <a:pPr algn="l"/>
            <a:t>Sales peaked in Aug contributing the highest with13.3% while Jan has the lowest performance contributing with 5.7% of the total revenue generated</a:t>
          </a:fld>
          <a:endParaRPr lang="en-US" sz="1200">
            <a:solidFill>
              <a:schemeClr val="bg1"/>
            </a:solidFill>
          </a:endParaRPr>
        </a:p>
      </xdr:txBody>
    </xdr:sp>
    <xdr:clientData/>
  </xdr:twoCellAnchor>
  <xdr:twoCellAnchor>
    <xdr:from>
      <xdr:col>23</xdr:col>
      <xdr:colOff>144163</xdr:colOff>
      <xdr:row>13</xdr:row>
      <xdr:rowOff>65529</xdr:rowOff>
    </xdr:from>
    <xdr:to>
      <xdr:col>31</xdr:col>
      <xdr:colOff>56167</xdr:colOff>
      <xdr:row>26</xdr:row>
      <xdr:rowOff>51488</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556054</xdr:colOff>
      <xdr:row>34</xdr:row>
      <xdr:rowOff>61783</xdr:rowOff>
    </xdr:from>
    <xdr:to>
      <xdr:col>8</xdr:col>
      <xdr:colOff>267730</xdr:colOff>
      <xdr:row>44</xdr:row>
      <xdr:rowOff>30892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61784</xdr:colOff>
      <xdr:row>32</xdr:row>
      <xdr:rowOff>123567</xdr:rowOff>
    </xdr:from>
    <xdr:to>
      <xdr:col>7</xdr:col>
      <xdr:colOff>30893</xdr:colOff>
      <xdr:row>34</xdr:row>
      <xdr:rowOff>51485</xdr:rowOff>
    </xdr:to>
    <xdr:sp macro="" textlink="">
      <xdr:nvSpPr>
        <xdr:cNvPr id="48" name="TextBox 47"/>
        <xdr:cNvSpPr txBox="1"/>
      </xdr:nvSpPr>
      <xdr:spPr>
        <a:xfrm>
          <a:off x="669325" y="6054810"/>
          <a:ext cx="3614352" cy="29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REVENUE BY DAYS ( TOP PERFORMING DAYS)</a:t>
          </a:r>
        </a:p>
      </xdr:txBody>
    </xdr:sp>
    <xdr:clientData/>
  </xdr:twoCellAnchor>
  <xdr:twoCellAnchor>
    <xdr:from>
      <xdr:col>9</xdr:col>
      <xdr:colOff>286966</xdr:colOff>
      <xdr:row>32</xdr:row>
      <xdr:rowOff>41237</xdr:rowOff>
    </xdr:from>
    <xdr:to>
      <xdr:col>19</xdr:col>
      <xdr:colOff>504568</xdr:colOff>
      <xdr:row>44</xdr:row>
      <xdr:rowOff>70023</xdr:rowOff>
    </xdr:to>
    <xdr:sp macro="" textlink="">
      <xdr:nvSpPr>
        <xdr:cNvPr id="49" name="Rounded Rectangle 48"/>
        <xdr:cNvSpPr/>
      </xdr:nvSpPr>
      <xdr:spPr>
        <a:xfrm>
          <a:off x="5754831" y="5972480"/>
          <a:ext cx="6293007" cy="2253002"/>
        </a:xfrm>
        <a:prstGeom prst="roundRect">
          <a:avLst/>
        </a:prstGeom>
        <a:solidFill>
          <a:srgbClr val="8698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274320" rtlCol="0" anchor="t"/>
        <a:lstStyle/>
        <a:p>
          <a:pPr algn="l"/>
          <a:endParaRPr lang="en-US" sz="1100"/>
        </a:p>
      </xdr:txBody>
    </xdr:sp>
    <xdr:clientData/>
  </xdr:twoCellAnchor>
  <xdr:twoCellAnchor>
    <xdr:from>
      <xdr:col>12</xdr:col>
      <xdr:colOff>391298</xdr:colOff>
      <xdr:row>32</xdr:row>
      <xdr:rowOff>154459</xdr:rowOff>
    </xdr:from>
    <xdr:to>
      <xdr:col>17</xdr:col>
      <xdr:colOff>566352</xdr:colOff>
      <xdr:row>34</xdr:row>
      <xdr:rowOff>144162</xdr:rowOff>
    </xdr:to>
    <xdr:sp macro="" textlink="">
      <xdr:nvSpPr>
        <xdr:cNvPr id="50" name="TextBox 49"/>
        <xdr:cNvSpPr txBox="1"/>
      </xdr:nvSpPr>
      <xdr:spPr>
        <a:xfrm>
          <a:off x="7681784" y="6085702"/>
          <a:ext cx="3212757" cy="3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WHERE SHOULD WE INVEST IN? </a:t>
          </a:r>
        </a:p>
      </xdr:txBody>
    </xdr:sp>
    <xdr:clientData/>
  </xdr:twoCellAnchor>
  <xdr:twoCellAnchor>
    <xdr:from>
      <xdr:col>10</xdr:col>
      <xdr:colOff>51487</xdr:colOff>
      <xdr:row>35</xdr:row>
      <xdr:rowOff>20595</xdr:rowOff>
    </xdr:from>
    <xdr:to>
      <xdr:col>19</xdr:col>
      <xdr:colOff>226541</xdr:colOff>
      <xdr:row>43</xdr:row>
      <xdr:rowOff>61784</xdr:rowOff>
    </xdr:to>
    <xdr:sp macro="" textlink="">
      <xdr:nvSpPr>
        <xdr:cNvPr id="51" name="TextBox 50"/>
        <xdr:cNvSpPr txBox="1"/>
      </xdr:nvSpPr>
      <xdr:spPr>
        <a:xfrm>
          <a:off x="6126892" y="6507892"/>
          <a:ext cx="5642919" cy="15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i="1">
              <a:solidFill>
                <a:schemeClr val="bg1"/>
              </a:solidFill>
            </a:rPr>
            <a:t>Based</a:t>
          </a:r>
          <a:r>
            <a:rPr lang="en-US" sz="1600" i="1" baseline="0">
              <a:solidFill>
                <a:schemeClr val="bg1"/>
              </a:solidFill>
            </a:rPr>
            <a:t> on regional performances, investment should be prioritised in kano, the top performing region contributed  29.7% of the total revemue. while lagos should receive targeted support as the lowest performing region having contributed 22.3% of the total revenue generated, presenting a clear growth opportunity.</a:t>
          </a:r>
          <a:endParaRPr lang="en-US" sz="1600" i="1">
            <a:solidFill>
              <a:schemeClr val="bg1"/>
            </a:solidFill>
          </a:endParaRPr>
        </a:p>
      </xdr:txBody>
    </xdr:sp>
    <xdr:clientData/>
  </xdr:twoCellAnchor>
  <xdr:twoCellAnchor>
    <xdr:from>
      <xdr:col>0</xdr:col>
      <xdr:colOff>216243</xdr:colOff>
      <xdr:row>0</xdr:row>
      <xdr:rowOff>0</xdr:rowOff>
    </xdr:from>
    <xdr:to>
      <xdr:col>12</xdr:col>
      <xdr:colOff>144163</xdr:colOff>
      <xdr:row>3</xdr:row>
      <xdr:rowOff>10297</xdr:rowOff>
    </xdr:to>
    <xdr:sp macro="" textlink="">
      <xdr:nvSpPr>
        <xdr:cNvPr id="53" name="TextBox 52"/>
        <xdr:cNvSpPr txBox="1"/>
      </xdr:nvSpPr>
      <xdr:spPr>
        <a:xfrm>
          <a:off x="216243" y="0"/>
          <a:ext cx="7218406" cy="566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accent1"/>
              </a:solidFill>
              <a:latin typeface="Arial Black" panose="020B0A04020102020204" pitchFamily="34" charset="0"/>
            </a:rPr>
            <a:t>FAHAD STORE</a:t>
          </a:r>
          <a:r>
            <a:rPr lang="en-US" sz="3600" b="1" baseline="0">
              <a:solidFill>
                <a:schemeClr val="accent1"/>
              </a:solidFill>
              <a:latin typeface="Arial Black" panose="020B0A04020102020204" pitchFamily="34" charset="0"/>
            </a:rPr>
            <a:t> DASHBOARD</a:t>
          </a:r>
          <a:endParaRPr lang="en-US" sz="3600" b="1">
            <a:solidFill>
              <a:schemeClr val="accent1"/>
            </a:solidFill>
            <a:latin typeface="Arial Black" panose="020B0A04020102020204" pitchFamily="34" charset="0"/>
          </a:endParaRPr>
        </a:p>
      </xdr:txBody>
    </xdr:sp>
    <xdr:clientData/>
  </xdr:twoCellAnchor>
  <xdr:twoCellAnchor editAs="oneCell">
    <xdr:from>
      <xdr:col>16</xdr:col>
      <xdr:colOff>72080</xdr:colOff>
      <xdr:row>0</xdr:row>
      <xdr:rowOff>43762</xdr:rowOff>
    </xdr:from>
    <xdr:to>
      <xdr:col>31</xdr:col>
      <xdr:colOff>226541</xdr:colOff>
      <xdr:row>3</xdr:row>
      <xdr:rowOff>72082</xdr:rowOff>
    </xdr:to>
    <mc:AlternateContent xmlns:mc="http://schemas.openxmlformats.org/markup-compatibility/2006" xmlns:a14="http://schemas.microsoft.com/office/drawing/2010/main">
      <mc:Choice Requires="a14">
        <xdr:graphicFrame macro="">
          <xdr:nvGraphicFramePr>
            <xdr:cNvPr id="54"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9792729" y="43762"/>
              <a:ext cx="9267569" cy="58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298622</xdr:colOff>
      <xdr:row>32</xdr:row>
      <xdr:rowOff>72082</xdr:rowOff>
    </xdr:from>
    <xdr:to>
      <xdr:col>25</xdr:col>
      <xdr:colOff>41189</xdr:colOff>
      <xdr:row>33</xdr:row>
      <xdr:rowOff>175054</xdr:rowOff>
    </xdr:to>
    <xdr:sp macro="" textlink="">
      <xdr:nvSpPr>
        <xdr:cNvPr id="58" name="TextBox 57"/>
        <xdr:cNvSpPr txBox="1"/>
      </xdr:nvSpPr>
      <xdr:spPr>
        <a:xfrm>
          <a:off x="13664514" y="6003325"/>
          <a:ext cx="1565189" cy="288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REGION</a:t>
          </a:r>
        </a:p>
      </xdr:txBody>
    </xdr:sp>
    <xdr:clientData/>
  </xdr:twoCellAnchor>
  <xdr:twoCellAnchor>
    <xdr:from>
      <xdr:col>26</xdr:col>
      <xdr:colOff>381000</xdr:colOff>
      <xdr:row>32</xdr:row>
      <xdr:rowOff>30892</xdr:rowOff>
    </xdr:from>
    <xdr:to>
      <xdr:col>30</xdr:col>
      <xdr:colOff>236838</xdr:colOff>
      <xdr:row>34</xdr:row>
      <xdr:rowOff>30891</xdr:rowOff>
    </xdr:to>
    <xdr:sp macro="" textlink="">
      <xdr:nvSpPr>
        <xdr:cNvPr id="59" name="TextBox 58"/>
        <xdr:cNvSpPr txBox="1"/>
      </xdr:nvSpPr>
      <xdr:spPr>
        <a:xfrm>
          <a:off x="16177054" y="5962135"/>
          <a:ext cx="2286000" cy="37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 REPRESENTATIVES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55.580202314814" createdVersion="6" refreshedVersion="6" minRefreshableVersion="3" recordCount="1000">
  <cacheSource type="worksheet">
    <worksheetSource name="Table1"/>
  </cacheSource>
  <cacheFields count="10">
    <cacheField name="Date" numFmtId="14">
      <sharedItems containsSemiMixedTypes="0" containsNonDate="0" containsDate="1" containsString="0" minDate="2024-01-01T00:00:00" maxDate="2024-12-31T00:00:00" count="339">
        <d v="2024-04-12T00:00:00"/>
        <d v="2024-04-09T00:00:00"/>
        <d v="2024-10-20T00:00:00"/>
        <d v="2024-02-28T00:00:00"/>
        <d v="2024-11-15T00:00:00"/>
        <d v="2024-06-15T00:00:00"/>
        <d v="2024-12-05T00:00:00"/>
        <d v="2024-02-19T00:00:00"/>
        <d v="2024-07-09T00:00:00"/>
        <d v="2024-09-26T00:00:00"/>
        <d v="2024-08-24T00:00:00"/>
        <d v="2024-01-15T00:00:00"/>
        <d v="2024-03-03T00:00:00"/>
        <d v="2024-09-17T00:00:00"/>
        <d v="2024-09-24T00:00:00"/>
        <d v="2024-08-01T00:00:00"/>
        <d v="2024-09-13T00:00:00"/>
        <d v="2024-12-11T00:00:00"/>
        <d v="2024-08-18T00:00:00"/>
        <d v="2024-03-06T00:00:00"/>
        <d v="2024-04-17T00:00:00"/>
        <d v="2024-10-09T00:00:00"/>
        <d v="2024-05-16T00:00:00"/>
        <d v="2024-11-10T00:00:00"/>
        <d v="2024-03-21T00:00:00"/>
        <d v="2024-05-05T00:00:00"/>
        <d v="2024-11-19T00:00:00"/>
        <d v="2024-10-06T00:00:00"/>
        <d v="2024-07-19T00:00:00"/>
        <d v="2024-05-26T00:00:00"/>
        <d v="2024-02-08T00:00:00"/>
        <d v="2024-10-24T00:00:00"/>
        <d v="2024-02-29T00:00:00"/>
        <d v="2024-01-09T00:00:00"/>
        <d v="2024-03-15T00:00:00"/>
        <d v="2024-04-08T00:00:00"/>
        <d v="2024-07-26T00:00:00"/>
        <d v="2024-05-14T00:00:00"/>
        <d v="2024-01-22T00:00:00"/>
        <d v="2024-08-13T00:00:00"/>
        <d v="2024-11-12T00:00:00"/>
        <d v="2024-06-06T00:00:00"/>
        <d v="2024-12-14T00:00:00"/>
        <d v="2024-09-09T00:00:00"/>
        <d v="2024-08-10T00:00:00"/>
        <d v="2024-05-06T00:00:00"/>
        <d v="2024-10-25T00:00:00"/>
        <d v="2024-01-13T00:00:00"/>
        <d v="2024-09-20T00:00:00"/>
        <d v="2024-08-02T00:00:00"/>
        <d v="2024-11-21T00:00:00"/>
        <d v="2024-11-03T00:00:00"/>
        <d v="2024-10-01T00:00:00"/>
        <d v="2024-05-08T00:00:00"/>
        <d v="2024-03-09T00:00:00"/>
        <d v="2024-03-26T00:00:00"/>
        <d v="2024-04-03T00:00:00"/>
        <d v="2024-09-03T00:00:00"/>
        <d v="2024-02-02T00:00:00"/>
        <d v="2024-03-05T00:00:00"/>
        <d v="2024-10-28T00:00:00"/>
        <d v="2024-03-30T00:00:00"/>
        <d v="2024-07-14T00:00:00"/>
        <d v="2024-08-04T00:00:00"/>
        <d v="2024-07-10T00:00:00"/>
        <d v="2024-04-05T00:00:00"/>
        <d v="2024-03-24T00:00:00"/>
        <d v="2024-08-20T00:00:00"/>
        <d v="2024-02-21T00:00:00"/>
        <d v="2024-01-25T00:00:00"/>
        <d v="2024-04-18T00:00:00"/>
        <d v="2024-08-08T00:00:00"/>
        <d v="2024-05-15T00:00:00"/>
        <d v="2024-05-11T00:00:00"/>
        <d v="2024-03-31T00:00:00"/>
        <d v="2024-08-07T00:00:00"/>
        <d v="2024-12-13T00:00:00"/>
        <d v="2024-05-13T00:00:00"/>
        <d v="2024-07-31T00:00:00"/>
        <d v="2024-10-31T00:00:00"/>
        <d v="2024-01-12T00:00:00"/>
        <d v="2024-06-12T00:00:00"/>
        <d v="2024-10-29T00:00:00"/>
        <d v="2024-10-15T00:00:00"/>
        <d v="2024-04-07T00:00:00"/>
        <d v="2024-07-15T00:00:00"/>
        <d v="2024-07-20T00:00:00"/>
        <d v="2024-01-01T00:00:00"/>
        <d v="2024-10-14T00:00:00"/>
        <d v="2024-09-15T00:00:00"/>
        <d v="2024-09-07T00:00:00"/>
        <d v="2024-11-30T00:00:00"/>
        <d v="2024-05-17T00:00:00"/>
        <d v="2024-02-22T00:00:00"/>
        <d v="2024-04-20T00:00:00"/>
        <d v="2024-12-25T00:00:00"/>
        <d v="2024-02-20T00:00:00"/>
        <d v="2024-03-18T00:00:00"/>
        <d v="2024-08-26T00:00:00"/>
        <d v="2024-02-25T00:00:00"/>
        <d v="2024-12-30T00:00:00"/>
        <d v="2024-08-25T00:00:00"/>
        <d v="2024-04-28T00:00:00"/>
        <d v="2024-08-23T00:00:00"/>
        <d v="2024-12-15T00:00:00"/>
        <d v="2024-08-16T00:00:00"/>
        <d v="2024-01-26T00:00:00"/>
        <d v="2024-06-20T00:00:00"/>
        <d v="2024-11-24T00:00:00"/>
        <d v="2024-02-04T00:00:00"/>
        <d v="2024-03-02T00:00:00"/>
        <d v="2024-10-21T00:00:00"/>
        <d v="2024-11-04T00:00:00"/>
        <d v="2024-06-27T00:00:00"/>
        <d v="2024-04-06T00:00:00"/>
        <d v="2024-01-10T00:00:00"/>
        <d v="2024-10-18T00:00:00"/>
        <d v="2024-08-05T00:00:00"/>
        <d v="2024-11-11T00:00:00"/>
        <d v="2024-04-01T00:00:00"/>
        <d v="2024-11-08T00:00:00"/>
        <d v="2024-08-31T00:00:00"/>
        <d v="2024-12-12T00:00:00"/>
        <d v="2024-05-29T00:00:00"/>
        <d v="2024-12-26T00:00:00"/>
        <d v="2024-10-12T00:00:00"/>
        <d v="2024-07-12T00:00:00"/>
        <d v="2024-02-24T00:00:00"/>
        <d v="2024-06-10T00:00:00"/>
        <d v="2024-01-08T00:00:00"/>
        <d v="2024-10-17T00:00:00"/>
        <d v="2024-06-13T00:00:00"/>
        <d v="2024-06-09T00:00:00"/>
        <d v="2024-07-06T00:00:00"/>
        <d v="2024-07-13T00:00:00"/>
        <d v="2024-09-12T00:00:00"/>
        <d v="2024-12-07T00:00:00"/>
        <d v="2024-08-11T00:00:00"/>
        <d v="2024-01-29T00:00:00"/>
        <d v="2024-12-06T00:00:00"/>
        <d v="2024-03-16T00:00:00"/>
        <d v="2024-07-08T00:00:00"/>
        <d v="2024-06-29T00:00:00"/>
        <d v="2024-05-31T00:00:00"/>
        <d v="2024-08-14T00:00:00"/>
        <d v="2024-02-13T00:00:00"/>
        <d v="2024-11-13T00:00:00"/>
        <d v="2024-07-16T00:00:00"/>
        <d v="2024-10-08T00:00:00"/>
        <d v="2024-06-24T00:00:00"/>
        <d v="2024-01-04T00:00:00"/>
        <d v="2024-09-01T00:00:00"/>
        <d v="2024-10-19T00:00:00"/>
        <d v="2024-12-09T00:00:00"/>
        <d v="2024-07-17T00:00:00"/>
        <d v="2024-11-25T00:00:00"/>
        <d v="2024-09-18T00:00:00"/>
        <d v="2024-08-28T00:00:00"/>
        <d v="2024-06-08T00:00:00"/>
        <d v="2024-03-08T00:00:00"/>
        <d v="2024-02-09T00:00:00"/>
        <d v="2024-02-07T00:00:00"/>
        <d v="2024-12-18T00:00:00"/>
        <d v="2024-06-03T00:00:00"/>
        <d v="2024-01-31T00:00:00"/>
        <d v="2024-12-21T00:00:00"/>
        <d v="2024-11-14T00:00:00"/>
        <d v="2024-08-06T00:00:00"/>
        <d v="2024-04-29T00:00:00"/>
        <d v="2024-03-19T00:00:00"/>
        <d v="2024-10-11T00:00:00"/>
        <d v="2024-12-02T00:00:00"/>
        <d v="2024-10-07T00:00:00"/>
        <d v="2024-06-22T00:00:00"/>
        <d v="2024-03-04T00:00:00"/>
        <d v="2024-06-14T00:00:00"/>
        <d v="2024-03-20T00:00:00"/>
        <d v="2024-08-29T00:00:00"/>
        <d v="2024-03-17T00:00:00"/>
        <d v="2024-03-13T00:00:00"/>
        <d v="2024-11-23T00:00:00"/>
        <d v="2024-07-29T00:00:00"/>
        <d v="2024-08-30T00:00:00"/>
        <d v="2024-12-29T00:00:00"/>
        <d v="2024-04-26T00:00:00"/>
        <d v="2024-01-18T00:00:00"/>
        <d v="2024-02-10T00:00:00"/>
        <d v="2024-05-24T00:00:00"/>
        <d v="2024-10-02T00:00:00"/>
        <d v="2024-07-22T00:00:00"/>
        <d v="2024-01-20T00:00:00"/>
        <d v="2024-04-23T00:00:00"/>
        <d v="2024-12-10T00:00:00"/>
        <d v="2024-10-30T00:00:00"/>
        <d v="2024-04-11T00:00:00"/>
        <d v="2024-12-04T00:00:00"/>
        <d v="2024-10-26T00:00:00"/>
        <d v="2024-01-21T00:00:00"/>
        <d v="2024-07-21T00:00:00"/>
        <d v="2024-10-16T00:00:00"/>
        <d v="2024-06-07T00:00:00"/>
        <d v="2024-02-05T00:00:00"/>
        <d v="2024-12-27T00:00:00"/>
        <d v="2024-09-27T00:00:00"/>
        <d v="2024-01-19T00:00:00"/>
        <d v="2024-09-19T00:00:00"/>
        <d v="2024-05-09T00:00:00"/>
        <d v="2024-10-13T00:00:00"/>
        <d v="2024-01-05T00:00:00"/>
        <d v="2024-05-21T00:00:00"/>
        <d v="2024-06-28T00:00:00"/>
        <d v="2024-05-22T00:00:00"/>
        <d v="2024-02-11T00:00:00"/>
        <d v="2024-11-16T00:00:00"/>
        <d v="2024-09-22T00:00:00"/>
        <d v="2024-06-04T00:00:00"/>
        <d v="2024-09-08T00:00:00"/>
        <d v="2024-12-08T00:00:00"/>
        <d v="2024-04-10T00:00:00"/>
        <d v="2024-08-15T00:00:00"/>
        <d v="2024-02-18T00:00:00"/>
        <d v="2024-09-14T00:00:00"/>
        <d v="2024-05-03T00:00:00"/>
        <d v="2024-07-07T00:00:00"/>
        <d v="2024-04-30T00:00:00"/>
        <d v="2024-11-05T00:00:00"/>
        <d v="2024-01-14T00:00:00"/>
        <d v="2024-01-24T00:00:00"/>
        <d v="2024-04-25T00:00:00"/>
        <d v="2024-04-27T00:00:00"/>
        <d v="2024-04-16T00:00:00"/>
        <d v="2024-12-01T00:00:00"/>
        <d v="2024-03-27T00:00:00"/>
        <d v="2024-11-22T00:00:00"/>
        <d v="2024-02-12T00:00:00"/>
        <d v="2024-04-21T00:00:00"/>
        <d v="2024-05-04T00:00:00"/>
        <d v="2024-06-16T00:00:00"/>
        <d v="2024-10-23T00:00:00"/>
        <d v="2024-09-16T00:00:00"/>
        <d v="2024-09-21T00:00:00"/>
        <d v="2024-09-04T00:00:00"/>
        <d v="2024-12-20T00:00:00"/>
        <d v="2024-11-29T00:00:00"/>
        <d v="2024-03-23T00:00:00"/>
        <d v="2024-06-21T00:00:00"/>
        <d v="2024-12-22T00:00:00"/>
        <d v="2024-11-27T00:00:00"/>
        <d v="2024-04-02T00:00:00"/>
        <d v="2024-11-07T00:00:00"/>
        <d v="2024-04-15T00:00:00"/>
        <d v="2024-01-17T00:00:00"/>
        <d v="2024-10-27T00:00:00"/>
        <d v="2024-05-25T00:00:00"/>
        <d v="2024-07-28T00:00:00"/>
        <d v="2024-07-11T00:00:00"/>
        <d v="2024-11-20T00:00:00"/>
        <d v="2024-12-19T00:00:00"/>
        <d v="2024-04-13T00:00:00"/>
        <d v="2024-05-28T00:00:00"/>
        <d v="2024-08-03T00:00:00"/>
        <d v="2024-02-06T00:00:00"/>
        <d v="2024-03-12T00:00:00"/>
        <d v="2024-02-14T00:00:00"/>
        <d v="2024-07-02T00:00:00"/>
        <d v="2024-02-23T00:00:00"/>
        <d v="2024-06-02T00:00:00"/>
        <d v="2024-08-22T00:00:00"/>
        <d v="2024-08-09T00:00:00"/>
        <d v="2024-01-07T00:00:00"/>
        <d v="2024-06-05T00:00:00"/>
        <d v="2024-11-26T00:00:00"/>
        <d v="2024-09-28T00:00:00"/>
        <d v="2024-03-29T00:00:00"/>
        <d v="2024-03-14T00:00:00"/>
        <d v="2024-12-24T00:00:00"/>
        <d v="2024-09-05T00:00:00"/>
        <d v="2024-07-24T00:00:00"/>
        <d v="2024-05-20T00:00:00"/>
        <d v="2024-12-17T00:00:00"/>
        <d v="2024-01-06T00:00:00"/>
        <d v="2024-11-17T00:00:00"/>
        <d v="2024-06-26T00:00:00"/>
        <d v="2024-08-12T00:00:00"/>
        <d v="2024-12-03T00:00:00"/>
        <d v="2024-08-17T00:00:00"/>
        <d v="2024-01-03T00:00:00"/>
        <d v="2024-05-12T00:00:00"/>
        <d v="2024-05-19T00:00:00"/>
        <d v="2024-02-01T00:00:00"/>
        <d v="2024-05-01T00:00:00"/>
        <d v="2024-08-21T00:00:00"/>
        <d v="2024-11-09T00:00:00"/>
        <d v="2024-06-19T00:00:00"/>
        <d v="2024-07-25T00:00:00"/>
        <d v="2024-09-23T00:00:00"/>
        <d v="2024-03-10T00:00:00"/>
        <d v="2024-07-01T00:00:00"/>
        <d v="2024-02-17T00:00:00"/>
        <d v="2024-01-28T00:00:00"/>
        <d v="2024-02-27T00:00:00"/>
        <d v="2024-09-29T00:00:00"/>
        <d v="2024-09-25T00:00:00"/>
        <d v="2024-11-18T00:00:00"/>
        <d v="2024-06-11T00:00:00"/>
        <d v="2024-12-16T00:00:00"/>
        <d v="2024-10-03T00:00:00"/>
        <d v="2024-05-30T00:00:00"/>
        <d v="2024-07-04T00:00:00"/>
        <d v="2024-10-04T00:00:00"/>
        <d v="2024-06-30T00:00:00"/>
        <d v="2024-02-03T00:00:00"/>
        <d v="2024-05-27T00:00:00"/>
        <d v="2024-02-15T00:00:00"/>
        <d v="2024-05-10T00:00:00"/>
        <d v="2024-10-05T00:00:00"/>
        <d v="2024-09-02T00:00:00"/>
        <d v="2024-11-01T00:00:00"/>
        <d v="2024-09-30T00:00:00"/>
        <d v="2024-04-22T00:00:00"/>
        <d v="2024-06-01T00:00:00"/>
        <d v="2024-01-30T00:00:00"/>
        <d v="2024-07-03T00:00:00"/>
        <d v="2024-01-23T00:00:00"/>
        <d v="2024-07-05T00:00:00"/>
        <d v="2024-02-16T00:00:00"/>
        <d v="2024-07-18T00:00:00"/>
        <d v="2024-11-02T00:00:00"/>
        <d v="2024-05-18T00:00:00"/>
        <d v="2024-08-19T00:00:00"/>
        <d v="2024-03-28T00:00:00"/>
        <d v="2024-06-25T00:00:00"/>
        <d v="2024-10-22T00:00:00"/>
        <d v="2024-08-27T00:00:00"/>
        <d v="2024-09-11T00:00:00"/>
        <d v="2024-01-27T00:00:00"/>
        <d v="2024-01-16T00:00:00"/>
        <d v="2024-03-11T00:00:00"/>
        <d v="2024-02-26T00:00:00"/>
      </sharedItems>
      <fieldGroup par="9" base="0">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Product" numFmtId="0">
      <sharedItems count="10">
        <s v="Milk"/>
        <s v="Tomato Paste"/>
        <s v="Soft Drink"/>
        <s v="Cooking Oil (1L)"/>
        <s v="Chicken"/>
        <s v="Noodles Pack"/>
        <s v="Rice (5kg)"/>
        <s v="Bread"/>
        <s v="Sugar"/>
        <s v="Eggs (crate)"/>
      </sharedItems>
    </cacheField>
    <cacheField name="Category" numFmtId="0">
      <sharedItems/>
    </cacheField>
    <cacheField name="Region" numFmtId="0">
      <sharedItems count="4">
        <s v="Port Harcourt"/>
        <s v="Abuja"/>
        <s v="Lagos"/>
        <s v="Kano"/>
      </sharedItems>
    </cacheField>
    <cacheField name="Sales Rep" numFmtId="0">
      <sharedItems count="5">
        <s v="David"/>
        <s v="Ibrahim"/>
        <s v="Chioma"/>
        <s v="Amina"/>
        <s v="John"/>
      </sharedItems>
    </cacheField>
    <cacheField name="Quantity" numFmtId="0">
      <sharedItems containsSemiMixedTypes="0" containsString="0" containsNumber="1" containsInteger="1" minValue="1" maxValue="19"/>
    </cacheField>
    <cacheField name="Unit Price" numFmtId="164">
      <sharedItems containsSemiMixedTypes="0" containsString="0" containsNumber="1" minValue="426" maxValue="19485.13"/>
    </cacheField>
    <cacheField name="Sales Amount" numFmtId="165">
      <sharedItems containsSemiMixedTypes="0" containsString="0" containsNumber="1" minValue="426.52" maxValue="331833.96000000002"/>
    </cacheField>
    <cacheField name="days" numFmtId="172">
      <sharedItems containsSemiMixedTypes="0" containsNonDate="0" containsDate="1" containsString="0" minDate="1899-12-30T00:00:00" maxDate="1900-01-06T00:00:00" count="7">
        <d v="1900-01-03T00:00:00"/>
        <d v="1899-12-31T00:00:00"/>
        <d v="1900-01-05T00:00:00"/>
        <d v="1900-01-01T00:00:00"/>
        <d v="1900-01-04T00:00:00"/>
        <d v="1900-01-02T00:00:00"/>
        <d v="1899-12-30T00:00:00"/>
      </sharedItems>
    </cacheField>
    <cacheField name="Months" numFmtId="0" databaseField="0">
      <fieldGroup base="0">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s v="Food"/>
    <x v="0"/>
    <x v="0"/>
    <n v="8"/>
    <n v="1271.03"/>
    <n v="10168.24"/>
    <x v="0"/>
  </r>
  <r>
    <x v="0"/>
    <x v="1"/>
    <s v="Groceries"/>
    <x v="0"/>
    <x v="0"/>
    <n v="11"/>
    <n v="1097.74"/>
    <n v="12075.14"/>
    <x v="0"/>
  </r>
  <r>
    <x v="1"/>
    <x v="2"/>
    <s v="Groceries"/>
    <x v="1"/>
    <x v="1"/>
    <n v="2"/>
    <n v="679.92"/>
    <n v="1359.84"/>
    <x v="1"/>
  </r>
  <r>
    <x v="2"/>
    <x v="3"/>
    <s v="Food"/>
    <x v="2"/>
    <x v="2"/>
    <n v="12"/>
    <n v="1784.59"/>
    <n v="21415.08"/>
    <x v="2"/>
  </r>
  <r>
    <x v="3"/>
    <x v="1"/>
    <s v="Groceries"/>
    <x v="1"/>
    <x v="0"/>
    <n v="12"/>
    <n v="907.69"/>
    <n v="10892.28"/>
    <x v="3"/>
  </r>
  <r>
    <x v="4"/>
    <x v="4"/>
    <s v="Groceries"/>
    <x v="2"/>
    <x v="0"/>
    <n v="7"/>
    <n v="4011.57"/>
    <n v="28080.99"/>
    <x v="0"/>
  </r>
  <r>
    <x v="5"/>
    <x v="3"/>
    <s v="Food"/>
    <x v="3"/>
    <x v="3"/>
    <n v="9"/>
    <n v="1773.95"/>
    <n v="15965.55"/>
    <x v="4"/>
  </r>
  <r>
    <x v="6"/>
    <x v="5"/>
    <s v="Food"/>
    <x v="3"/>
    <x v="0"/>
    <n v="14"/>
    <n v="1401.95"/>
    <n v="19627.3"/>
    <x v="5"/>
  </r>
  <r>
    <x v="7"/>
    <x v="2"/>
    <s v="Beverage"/>
    <x v="1"/>
    <x v="3"/>
    <n v="4"/>
    <n v="486.55"/>
    <n v="1946.2"/>
    <x v="6"/>
  </r>
  <r>
    <x v="8"/>
    <x v="3"/>
    <s v="Beverage"/>
    <x v="3"/>
    <x v="3"/>
    <n v="10"/>
    <n v="3092.24"/>
    <n v="30922.400000000001"/>
    <x v="1"/>
  </r>
  <r>
    <x v="9"/>
    <x v="2"/>
    <s v="Beverage"/>
    <x v="0"/>
    <x v="2"/>
    <n v="8"/>
    <n v="724.03"/>
    <n v="5792.24"/>
    <x v="5"/>
  </r>
  <r>
    <x v="10"/>
    <x v="3"/>
    <s v="Groceries"/>
    <x v="2"/>
    <x v="3"/>
    <n v="13"/>
    <n v="1961.39"/>
    <n v="25498.07"/>
    <x v="4"/>
  </r>
  <r>
    <x v="11"/>
    <x v="6"/>
    <s v="Food"/>
    <x v="0"/>
    <x v="4"/>
    <n v="1"/>
    <n v="12288.44"/>
    <n v="12288.44"/>
    <x v="6"/>
  </r>
  <r>
    <x v="12"/>
    <x v="7"/>
    <s v="Food"/>
    <x v="3"/>
    <x v="0"/>
    <n v="3"/>
    <n v="930.21"/>
    <n v="2790.63"/>
    <x v="2"/>
  </r>
  <r>
    <x v="13"/>
    <x v="1"/>
    <s v="Groceries"/>
    <x v="1"/>
    <x v="4"/>
    <n v="7"/>
    <n v="1089.02"/>
    <n v="7623.14"/>
    <x v="1"/>
  </r>
  <r>
    <x v="14"/>
    <x v="3"/>
    <s v="Food"/>
    <x v="3"/>
    <x v="1"/>
    <n v="3"/>
    <n v="2636.95"/>
    <n v="7910.85"/>
    <x v="1"/>
  </r>
  <r>
    <x v="15"/>
    <x v="7"/>
    <s v="Food"/>
    <x v="0"/>
    <x v="1"/>
    <n v="15"/>
    <n v="902.36"/>
    <n v="13535.4"/>
    <x v="5"/>
  </r>
  <r>
    <x v="16"/>
    <x v="8"/>
    <s v="Beverage"/>
    <x v="0"/>
    <x v="0"/>
    <n v="9"/>
    <n v="1126.4000000000001"/>
    <n v="10137.6"/>
    <x v="0"/>
  </r>
  <r>
    <x v="17"/>
    <x v="1"/>
    <s v="Food"/>
    <x v="0"/>
    <x v="4"/>
    <n v="4"/>
    <n v="1120.0899999999999"/>
    <n v="4480.3599999999997"/>
    <x v="3"/>
  </r>
  <r>
    <x v="18"/>
    <x v="0"/>
    <s v="Food"/>
    <x v="3"/>
    <x v="0"/>
    <n v="19"/>
    <n v="956.08"/>
    <n v="18165.52"/>
    <x v="2"/>
  </r>
  <r>
    <x v="19"/>
    <x v="1"/>
    <s v="Food"/>
    <x v="1"/>
    <x v="4"/>
    <n v="6"/>
    <n v="876.53"/>
    <n v="5259.18"/>
    <x v="3"/>
  </r>
  <r>
    <x v="20"/>
    <x v="0"/>
    <s v="Beverage"/>
    <x v="1"/>
    <x v="0"/>
    <n v="7"/>
    <n v="1492.92"/>
    <n v="10450.44"/>
    <x v="3"/>
  </r>
  <r>
    <x v="21"/>
    <x v="4"/>
    <s v="Food"/>
    <x v="2"/>
    <x v="0"/>
    <n v="7"/>
    <n v="3993.97"/>
    <n v="27957.79"/>
    <x v="3"/>
  </r>
  <r>
    <x v="22"/>
    <x v="8"/>
    <s v="Food"/>
    <x v="0"/>
    <x v="3"/>
    <n v="12"/>
    <n v="846.48"/>
    <n v="10157.76"/>
    <x v="5"/>
  </r>
  <r>
    <x v="23"/>
    <x v="9"/>
    <s v="Food"/>
    <x v="3"/>
    <x v="4"/>
    <n v="17"/>
    <n v="2983.22"/>
    <n v="50714.74"/>
    <x v="2"/>
  </r>
  <r>
    <x v="14"/>
    <x v="5"/>
    <s v="Beverage"/>
    <x v="0"/>
    <x v="4"/>
    <n v="5"/>
    <n v="1306.3599999999999"/>
    <n v="6531.8"/>
    <x v="1"/>
  </r>
  <r>
    <x v="24"/>
    <x v="6"/>
    <s v="Beverage"/>
    <x v="1"/>
    <x v="2"/>
    <n v="5"/>
    <n v="13605.64"/>
    <n v="68028.2"/>
    <x v="5"/>
  </r>
  <r>
    <x v="25"/>
    <x v="3"/>
    <s v="Food"/>
    <x v="3"/>
    <x v="3"/>
    <n v="6"/>
    <n v="2113.08"/>
    <n v="12678.48"/>
    <x v="2"/>
  </r>
  <r>
    <x v="26"/>
    <x v="5"/>
    <s v="Groceries"/>
    <x v="3"/>
    <x v="0"/>
    <n v="17"/>
    <n v="1705.39"/>
    <n v="28991.63"/>
    <x v="1"/>
  </r>
  <r>
    <x v="27"/>
    <x v="8"/>
    <s v="Beverage"/>
    <x v="1"/>
    <x v="0"/>
    <n v="16"/>
    <n v="1179.01"/>
    <n v="18864.16"/>
    <x v="2"/>
  </r>
  <r>
    <x v="28"/>
    <x v="9"/>
    <s v="Food"/>
    <x v="0"/>
    <x v="2"/>
    <n v="4"/>
    <n v="2484.83"/>
    <n v="9939.32"/>
    <x v="0"/>
  </r>
  <r>
    <x v="29"/>
    <x v="0"/>
    <s v="Groceries"/>
    <x v="3"/>
    <x v="4"/>
    <n v="1"/>
    <n v="1126.25"/>
    <n v="1126.25"/>
    <x v="2"/>
  </r>
  <r>
    <x v="30"/>
    <x v="3"/>
    <s v="Food"/>
    <x v="0"/>
    <x v="2"/>
    <n v="18"/>
    <n v="3137.04"/>
    <n v="56466.720000000001"/>
    <x v="5"/>
  </r>
  <r>
    <x v="31"/>
    <x v="7"/>
    <s v="Groceries"/>
    <x v="3"/>
    <x v="3"/>
    <n v="16"/>
    <n v="826.5"/>
    <n v="13224"/>
    <x v="5"/>
  </r>
  <r>
    <x v="32"/>
    <x v="6"/>
    <s v="Beverage"/>
    <x v="2"/>
    <x v="2"/>
    <n v="5"/>
    <n v="18603.759999999998"/>
    <n v="93018.8"/>
    <x v="5"/>
  </r>
  <r>
    <x v="33"/>
    <x v="4"/>
    <s v="Groceries"/>
    <x v="0"/>
    <x v="0"/>
    <n v="1"/>
    <n v="5426.09"/>
    <n v="5426.09"/>
    <x v="1"/>
  </r>
  <r>
    <x v="34"/>
    <x v="6"/>
    <s v="Beverage"/>
    <x v="3"/>
    <x v="2"/>
    <n v="3"/>
    <n v="13850.54"/>
    <n v="41551.620000000003"/>
    <x v="0"/>
  </r>
  <r>
    <x v="35"/>
    <x v="4"/>
    <s v="Food"/>
    <x v="1"/>
    <x v="3"/>
    <n v="2"/>
    <n v="5575.69"/>
    <n v="11151.38"/>
    <x v="6"/>
  </r>
  <r>
    <x v="36"/>
    <x v="4"/>
    <s v="Food"/>
    <x v="3"/>
    <x v="4"/>
    <n v="14"/>
    <n v="4476.2"/>
    <n v="62666.8"/>
    <x v="0"/>
  </r>
  <r>
    <x v="37"/>
    <x v="7"/>
    <s v="Food"/>
    <x v="3"/>
    <x v="4"/>
    <n v="16"/>
    <n v="604.96"/>
    <n v="9679.36"/>
    <x v="1"/>
  </r>
  <r>
    <x v="38"/>
    <x v="9"/>
    <s v="Beverage"/>
    <x v="2"/>
    <x v="0"/>
    <n v="8"/>
    <n v="3775.39"/>
    <n v="30203.119999999999"/>
    <x v="6"/>
  </r>
  <r>
    <x v="39"/>
    <x v="8"/>
    <s v="Beverage"/>
    <x v="2"/>
    <x v="2"/>
    <n v="15"/>
    <n v="995.51"/>
    <n v="14932.65"/>
    <x v="1"/>
  </r>
  <r>
    <x v="40"/>
    <x v="7"/>
    <s v="Groceries"/>
    <x v="3"/>
    <x v="4"/>
    <n v="17"/>
    <n v="1037.3800000000001"/>
    <n v="17635.46"/>
    <x v="1"/>
  </r>
  <r>
    <x v="41"/>
    <x v="8"/>
    <s v="Beverage"/>
    <x v="0"/>
    <x v="2"/>
    <n v="9"/>
    <n v="1271.8399999999999"/>
    <n v="11446.56"/>
    <x v="5"/>
  </r>
  <r>
    <x v="42"/>
    <x v="6"/>
    <s v="Beverage"/>
    <x v="2"/>
    <x v="0"/>
    <n v="1"/>
    <n v="11178.12"/>
    <n v="11178.12"/>
    <x v="4"/>
  </r>
  <r>
    <x v="43"/>
    <x v="8"/>
    <s v="Groceries"/>
    <x v="2"/>
    <x v="0"/>
    <n v="18"/>
    <n v="1034.08"/>
    <n v="18613.439999999999"/>
    <x v="6"/>
  </r>
  <r>
    <x v="44"/>
    <x v="9"/>
    <s v="Beverage"/>
    <x v="0"/>
    <x v="3"/>
    <n v="15"/>
    <n v="4529.1099999999997"/>
    <n v="67936.649999999994"/>
    <x v="4"/>
  </r>
  <r>
    <x v="45"/>
    <x v="1"/>
    <s v="Beverage"/>
    <x v="1"/>
    <x v="4"/>
    <n v="8"/>
    <n v="1006.39"/>
    <n v="8051.12"/>
    <x v="6"/>
  </r>
  <r>
    <x v="46"/>
    <x v="9"/>
    <s v="Groceries"/>
    <x v="2"/>
    <x v="3"/>
    <n v="3"/>
    <n v="2988.03"/>
    <n v="8964.09"/>
    <x v="0"/>
  </r>
  <r>
    <x v="47"/>
    <x v="1"/>
    <s v="Groceries"/>
    <x v="2"/>
    <x v="2"/>
    <n v="13"/>
    <n v="734.91"/>
    <n v="9553.83"/>
    <x v="4"/>
  </r>
  <r>
    <x v="48"/>
    <x v="7"/>
    <s v="Groceries"/>
    <x v="0"/>
    <x v="2"/>
    <n v="2"/>
    <n v="605.11"/>
    <n v="1210.22"/>
    <x v="0"/>
  </r>
  <r>
    <x v="49"/>
    <x v="9"/>
    <s v="Groceries"/>
    <x v="2"/>
    <x v="3"/>
    <n v="17"/>
    <n v="2528.4299999999998"/>
    <n v="42983.31"/>
    <x v="0"/>
  </r>
  <r>
    <x v="50"/>
    <x v="9"/>
    <s v="Groceries"/>
    <x v="3"/>
    <x v="1"/>
    <n v="1"/>
    <n v="4188.5200000000004"/>
    <n v="4188.5200000000004"/>
    <x v="5"/>
  </r>
  <r>
    <x v="32"/>
    <x v="8"/>
    <s v="Groceries"/>
    <x v="3"/>
    <x v="1"/>
    <n v="15"/>
    <n v="1119.71"/>
    <n v="16795.650000000001"/>
    <x v="5"/>
  </r>
  <r>
    <x v="51"/>
    <x v="3"/>
    <s v="Beverage"/>
    <x v="1"/>
    <x v="0"/>
    <n v="17"/>
    <n v="2348.23"/>
    <n v="39919.910000000003"/>
    <x v="2"/>
  </r>
  <r>
    <x v="52"/>
    <x v="1"/>
    <s v="Groceries"/>
    <x v="1"/>
    <x v="1"/>
    <n v="9"/>
    <n v="1001.79"/>
    <n v="9016.11"/>
    <x v="1"/>
  </r>
  <r>
    <x v="53"/>
    <x v="1"/>
    <s v="Beverage"/>
    <x v="2"/>
    <x v="3"/>
    <n v="16"/>
    <n v="728.75"/>
    <n v="11660"/>
    <x v="3"/>
  </r>
  <r>
    <x v="10"/>
    <x v="8"/>
    <s v="Food"/>
    <x v="3"/>
    <x v="1"/>
    <n v="7"/>
    <n v="1094.27"/>
    <n v="7659.89"/>
    <x v="4"/>
  </r>
  <r>
    <x v="54"/>
    <x v="9"/>
    <s v="Food"/>
    <x v="0"/>
    <x v="0"/>
    <n v="12"/>
    <n v="3638.68"/>
    <n v="43664.160000000003"/>
    <x v="4"/>
  </r>
  <r>
    <x v="55"/>
    <x v="4"/>
    <s v="Food"/>
    <x v="1"/>
    <x v="2"/>
    <n v="5"/>
    <n v="3782.47"/>
    <n v="18912.349999999999"/>
    <x v="1"/>
  </r>
  <r>
    <x v="56"/>
    <x v="0"/>
    <s v="Food"/>
    <x v="3"/>
    <x v="3"/>
    <n v="16"/>
    <n v="1420.98"/>
    <n v="22735.68"/>
    <x v="3"/>
  </r>
  <r>
    <x v="1"/>
    <x v="6"/>
    <s v="Beverage"/>
    <x v="1"/>
    <x v="1"/>
    <n v="10"/>
    <n v="19042.310000000001"/>
    <n v="190423.1"/>
    <x v="1"/>
  </r>
  <r>
    <x v="1"/>
    <x v="3"/>
    <s v="Groceries"/>
    <x v="1"/>
    <x v="3"/>
    <n v="19"/>
    <n v="2504.6999999999998"/>
    <n v="47589.3"/>
    <x v="1"/>
  </r>
  <r>
    <x v="16"/>
    <x v="2"/>
    <s v="Food"/>
    <x v="2"/>
    <x v="2"/>
    <n v="16"/>
    <n v="445.4"/>
    <n v="7126.4"/>
    <x v="0"/>
  </r>
  <r>
    <x v="57"/>
    <x v="3"/>
    <s v="Food"/>
    <x v="3"/>
    <x v="0"/>
    <n v="12"/>
    <n v="2332.25"/>
    <n v="27987"/>
    <x v="1"/>
  </r>
  <r>
    <x v="58"/>
    <x v="6"/>
    <s v="Food"/>
    <x v="0"/>
    <x v="0"/>
    <n v="5"/>
    <n v="16133.46"/>
    <n v="80667.3"/>
    <x v="0"/>
  </r>
  <r>
    <x v="59"/>
    <x v="6"/>
    <s v="Beverage"/>
    <x v="0"/>
    <x v="2"/>
    <n v="13"/>
    <n v="12431.3"/>
    <n v="161606.9"/>
    <x v="1"/>
  </r>
  <r>
    <x v="60"/>
    <x v="3"/>
    <s v="Food"/>
    <x v="0"/>
    <x v="3"/>
    <n v="3"/>
    <n v="2254.83"/>
    <n v="6764.49"/>
    <x v="6"/>
  </r>
  <r>
    <x v="61"/>
    <x v="2"/>
    <s v="Food"/>
    <x v="1"/>
    <x v="3"/>
    <n v="2"/>
    <n v="513.85"/>
    <n v="1027.7"/>
    <x v="4"/>
  </r>
  <r>
    <x v="62"/>
    <x v="1"/>
    <s v="Food"/>
    <x v="1"/>
    <x v="1"/>
    <n v="11"/>
    <n v="1103.83"/>
    <n v="12142.13"/>
    <x v="2"/>
  </r>
  <r>
    <x v="63"/>
    <x v="8"/>
    <s v="Food"/>
    <x v="2"/>
    <x v="2"/>
    <n v="10"/>
    <n v="954.08"/>
    <n v="9540.7999999999993"/>
    <x v="2"/>
  </r>
  <r>
    <x v="64"/>
    <x v="7"/>
    <s v="Food"/>
    <x v="0"/>
    <x v="2"/>
    <n v="18"/>
    <n v="680.01"/>
    <n v="12240.18"/>
    <x v="3"/>
  </r>
  <r>
    <x v="65"/>
    <x v="2"/>
    <s v="Groceries"/>
    <x v="1"/>
    <x v="1"/>
    <n v="12"/>
    <n v="574.44000000000005"/>
    <n v="6893.28"/>
    <x v="0"/>
  </r>
  <r>
    <x v="47"/>
    <x v="5"/>
    <s v="Food"/>
    <x v="0"/>
    <x v="4"/>
    <n v="17"/>
    <n v="1530.89"/>
    <n v="26025.13"/>
    <x v="4"/>
  </r>
  <r>
    <x v="66"/>
    <x v="4"/>
    <s v="Beverage"/>
    <x v="2"/>
    <x v="0"/>
    <n v="19"/>
    <n v="4667.6099999999997"/>
    <n v="88684.59"/>
    <x v="2"/>
  </r>
  <r>
    <x v="67"/>
    <x v="7"/>
    <s v="Food"/>
    <x v="0"/>
    <x v="2"/>
    <n v="14"/>
    <n v="884.85"/>
    <n v="12387.9"/>
    <x v="1"/>
  </r>
  <r>
    <x v="68"/>
    <x v="7"/>
    <s v="Beverage"/>
    <x v="0"/>
    <x v="1"/>
    <n v="5"/>
    <n v="700.74"/>
    <n v="3503.7"/>
    <x v="3"/>
  </r>
  <r>
    <x v="69"/>
    <x v="0"/>
    <s v="Groceries"/>
    <x v="2"/>
    <x v="2"/>
    <n v="16"/>
    <n v="1408.53"/>
    <n v="22536.48"/>
    <x v="5"/>
  </r>
  <r>
    <x v="70"/>
    <x v="8"/>
    <s v="Beverage"/>
    <x v="1"/>
    <x v="3"/>
    <n v="5"/>
    <n v="1142.22"/>
    <n v="5711.1"/>
    <x v="5"/>
  </r>
  <r>
    <x v="71"/>
    <x v="3"/>
    <s v="Groceries"/>
    <x v="3"/>
    <x v="4"/>
    <n v="10"/>
    <n v="3005.45"/>
    <n v="30054.5"/>
    <x v="5"/>
  </r>
  <r>
    <x v="43"/>
    <x v="9"/>
    <s v="Groceries"/>
    <x v="1"/>
    <x v="1"/>
    <n v="8"/>
    <n v="2602.8000000000002"/>
    <n v="20822.400000000001"/>
    <x v="6"/>
  </r>
  <r>
    <x v="21"/>
    <x v="1"/>
    <s v="Beverage"/>
    <x v="2"/>
    <x v="1"/>
    <n v="5"/>
    <n v="755.94"/>
    <n v="3779.7"/>
    <x v="3"/>
  </r>
  <r>
    <x v="72"/>
    <x v="6"/>
    <s v="Beverage"/>
    <x v="3"/>
    <x v="4"/>
    <n v="7"/>
    <n v="19374.009999999998"/>
    <n v="135618.07"/>
    <x v="3"/>
  </r>
  <r>
    <x v="73"/>
    <x v="0"/>
    <s v="Beverage"/>
    <x v="3"/>
    <x v="0"/>
    <n v="12"/>
    <n v="1242.05"/>
    <n v="14904.6"/>
    <x v="4"/>
  </r>
  <r>
    <x v="74"/>
    <x v="1"/>
    <s v="Beverage"/>
    <x v="0"/>
    <x v="0"/>
    <n v="13"/>
    <n v="636.13"/>
    <n v="8269.69"/>
    <x v="2"/>
  </r>
  <r>
    <x v="75"/>
    <x v="1"/>
    <s v="Food"/>
    <x v="0"/>
    <x v="4"/>
    <n v="7"/>
    <n v="1032.8599999999999"/>
    <n v="7230.02"/>
    <x v="3"/>
  </r>
  <r>
    <x v="76"/>
    <x v="4"/>
    <s v="Groceries"/>
    <x v="3"/>
    <x v="4"/>
    <n v="1"/>
    <n v="4170.79"/>
    <n v="4170.79"/>
    <x v="0"/>
  </r>
  <r>
    <x v="77"/>
    <x v="1"/>
    <s v="Food"/>
    <x v="3"/>
    <x v="1"/>
    <n v="15"/>
    <n v="1111.22"/>
    <n v="16668.3"/>
    <x v="6"/>
  </r>
  <r>
    <x v="78"/>
    <x v="8"/>
    <s v="Groceries"/>
    <x v="0"/>
    <x v="2"/>
    <n v="18"/>
    <n v="799.73"/>
    <n v="14395.14"/>
    <x v="3"/>
  </r>
  <r>
    <x v="79"/>
    <x v="6"/>
    <s v="Food"/>
    <x v="1"/>
    <x v="0"/>
    <n v="16"/>
    <n v="17133.91"/>
    <n v="274142.56"/>
    <x v="5"/>
  </r>
  <r>
    <x v="80"/>
    <x v="1"/>
    <s v="Beverage"/>
    <x v="3"/>
    <x v="2"/>
    <n v="8"/>
    <n v="721.63"/>
    <n v="5773.04"/>
    <x v="0"/>
  </r>
  <r>
    <x v="81"/>
    <x v="1"/>
    <s v="Beverage"/>
    <x v="3"/>
    <x v="3"/>
    <n v="5"/>
    <n v="1156.17"/>
    <n v="5780.85"/>
    <x v="3"/>
  </r>
  <r>
    <x v="64"/>
    <x v="9"/>
    <s v="Groceries"/>
    <x v="2"/>
    <x v="4"/>
    <n v="1"/>
    <n v="3313.53"/>
    <n v="3313.53"/>
    <x v="3"/>
  </r>
  <r>
    <x v="75"/>
    <x v="7"/>
    <s v="Food"/>
    <x v="1"/>
    <x v="3"/>
    <n v="19"/>
    <n v="908.35"/>
    <n v="17258.650000000001"/>
    <x v="3"/>
  </r>
  <r>
    <x v="82"/>
    <x v="4"/>
    <s v="Beverage"/>
    <x v="1"/>
    <x v="3"/>
    <n v="13"/>
    <n v="3994.5"/>
    <n v="51928.5"/>
    <x v="1"/>
  </r>
  <r>
    <x v="83"/>
    <x v="9"/>
    <s v="Food"/>
    <x v="1"/>
    <x v="4"/>
    <n v="11"/>
    <n v="3697.67"/>
    <n v="40674.370000000003"/>
    <x v="1"/>
  </r>
  <r>
    <x v="12"/>
    <x v="4"/>
    <s v="Beverage"/>
    <x v="0"/>
    <x v="0"/>
    <n v="17"/>
    <n v="6014.99"/>
    <n v="102254.83"/>
    <x v="2"/>
  </r>
  <r>
    <x v="84"/>
    <x v="4"/>
    <s v="Groceries"/>
    <x v="0"/>
    <x v="4"/>
    <n v="16"/>
    <n v="3726.08"/>
    <n v="59617.279999999999"/>
    <x v="2"/>
  </r>
  <r>
    <x v="85"/>
    <x v="8"/>
    <s v="Beverage"/>
    <x v="0"/>
    <x v="1"/>
    <n v="5"/>
    <n v="1135.67"/>
    <n v="5678.35"/>
    <x v="6"/>
  </r>
  <r>
    <x v="86"/>
    <x v="1"/>
    <s v="Groceries"/>
    <x v="2"/>
    <x v="1"/>
    <n v="14"/>
    <n v="740.72"/>
    <n v="10370.08"/>
    <x v="4"/>
  </r>
  <r>
    <x v="87"/>
    <x v="7"/>
    <s v="Food"/>
    <x v="2"/>
    <x v="2"/>
    <n v="1"/>
    <n v="882.42"/>
    <n v="882.42"/>
    <x v="6"/>
  </r>
  <r>
    <x v="88"/>
    <x v="3"/>
    <s v="Groceries"/>
    <x v="3"/>
    <x v="3"/>
    <n v="2"/>
    <n v="2464.3200000000002"/>
    <n v="4928.6400000000003"/>
    <x v="6"/>
  </r>
  <r>
    <x v="89"/>
    <x v="3"/>
    <s v="Food"/>
    <x v="1"/>
    <x v="2"/>
    <n v="5"/>
    <n v="1882.61"/>
    <n v="9413.0499999999993"/>
    <x v="2"/>
  </r>
  <r>
    <x v="90"/>
    <x v="4"/>
    <s v="Food"/>
    <x v="3"/>
    <x v="1"/>
    <n v="14"/>
    <n v="5612.24"/>
    <n v="78571.360000000001"/>
    <x v="4"/>
  </r>
  <r>
    <x v="0"/>
    <x v="9"/>
    <s v="Beverage"/>
    <x v="1"/>
    <x v="3"/>
    <n v="2"/>
    <n v="3786.95"/>
    <n v="7573.9"/>
    <x v="0"/>
  </r>
  <r>
    <x v="91"/>
    <x v="7"/>
    <s v="Groceries"/>
    <x v="1"/>
    <x v="2"/>
    <n v="6"/>
    <n v="776.44"/>
    <n v="4658.6400000000003"/>
    <x v="4"/>
  </r>
  <r>
    <x v="91"/>
    <x v="5"/>
    <s v="Beverage"/>
    <x v="0"/>
    <x v="4"/>
    <n v="5"/>
    <n v="1766.82"/>
    <n v="8834.1"/>
    <x v="4"/>
  </r>
  <r>
    <x v="92"/>
    <x v="2"/>
    <s v="Food"/>
    <x v="1"/>
    <x v="4"/>
    <n v="5"/>
    <n v="772.81"/>
    <n v="3864.05"/>
    <x v="0"/>
  </r>
  <r>
    <x v="93"/>
    <x v="3"/>
    <s v="Food"/>
    <x v="1"/>
    <x v="0"/>
    <n v="11"/>
    <n v="2110.2199999999998"/>
    <n v="23212.42"/>
    <x v="5"/>
  </r>
  <r>
    <x v="94"/>
    <x v="4"/>
    <s v="Groceries"/>
    <x v="0"/>
    <x v="0"/>
    <n v="16"/>
    <n v="5422.62"/>
    <n v="86761.919999999998"/>
    <x v="4"/>
  </r>
  <r>
    <x v="95"/>
    <x v="0"/>
    <s v="Food"/>
    <x v="0"/>
    <x v="0"/>
    <n v="18"/>
    <n v="1273.3900000000001"/>
    <n v="22921.02"/>
    <x v="3"/>
  </r>
  <r>
    <x v="96"/>
    <x v="7"/>
    <s v="Food"/>
    <x v="2"/>
    <x v="3"/>
    <n v="10"/>
    <n v="644.97"/>
    <n v="6449.7"/>
    <x v="1"/>
  </r>
  <r>
    <x v="50"/>
    <x v="6"/>
    <s v="Food"/>
    <x v="2"/>
    <x v="2"/>
    <n v="14"/>
    <n v="13778.43"/>
    <n v="192898.02"/>
    <x v="5"/>
  </r>
  <r>
    <x v="97"/>
    <x v="1"/>
    <s v="Food"/>
    <x v="0"/>
    <x v="4"/>
    <n v="15"/>
    <n v="969.07"/>
    <n v="14536.05"/>
    <x v="6"/>
  </r>
  <r>
    <x v="98"/>
    <x v="2"/>
    <s v="Beverage"/>
    <x v="0"/>
    <x v="1"/>
    <n v="17"/>
    <n v="519.67999999999995"/>
    <n v="8834.56"/>
    <x v="6"/>
  </r>
  <r>
    <x v="16"/>
    <x v="2"/>
    <s v="Food"/>
    <x v="0"/>
    <x v="1"/>
    <n v="15"/>
    <n v="613.16999999999996"/>
    <n v="9197.5499999999993"/>
    <x v="0"/>
  </r>
  <r>
    <x v="99"/>
    <x v="9"/>
    <s v="Beverage"/>
    <x v="1"/>
    <x v="2"/>
    <n v="14"/>
    <n v="3421.32"/>
    <n v="47898.48"/>
    <x v="2"/>
  </r>
  <r>
    <x v="100"/>
    <x v="1"/>
    <s v="Beverage"/>
    <x v="0"/>
    <x v="0"/>
    <n v="7"/>
    <n v="1001.07"/>
    <n v="7007.49"/>
    <x v="6"/>
  </r>
  <r>
    <x v="101"/>
    <x v="3"/>
    <s v="Beverage"/>
    <x v="1"/>
    <x v="0"/>
    <n v="19"/>
    <n v="2113.71"/>
    <n v="40160.49"/>
    <x v="2"/>
  </r>
  <r>
    <x v="102"/>
    <x v="8"/>
    <s v="Beverage"/>
    <x v="0"/>
    <x v="4"/>
    <n v="17"/>
    <n v="826.87"/>
    <n v="14056.79"/>
    <x v="2"/>
  </r>
  <r>
    <x v="25"/>
    <x v="4"/>
    <s v="Food"/>
    <x v="2"/>
    <x v="2"/>
    <n v="4"/>
    <n v="4565.3100000000004"/>
    <n v="18261.240000000002"/>
    <x v="2"/>
  </r>
  <r>
    <x v="67"/>
    <x v="3"/>
    <s v="Groceries"/>
    <x v="3"/>
    <x v="3"/>
    <n v="15"/>
    <n v="2868.16"/>
    <n v="43022.400000000001"/>
    <x v="1"/>
  </r>
  <r>
    <x v="103"/>
    <x v="7"/>
    <s v="Beverage"/>
    <x v="2"/>
    <x v="1"/>
    <n v="6"/>
    <n v="991.83"/>
    <n v="5950.98"/>
    <x v="0"/>
  </r>
  <r>
    <x v="4"/>
    <x v="3"/>
    <s v="Groceries"/>
    <x v="3"/>
    <x v="0"/>
    <n v="13"/>
    <n v="2245.52"/>
    <n v="29191.759999999998"/>
    <x v="0"/>
  </r>
  <r>
    <x v="83"/>
    <x v="8"/>
    <s v="Beverage"/>
    <x v="2"/>
    <x v="2"/>
    <n v="11"/>
    <n v="752.73"/>
    <n v="8280.0300000000007"/>
    <x v="1"/>
  </r>
  <r>
    <x v="104"/>
    <x v="2"/>
    <s v="Groceries"/>
    <x v="2"/>
    <x v="0"/>
    <n v="19"/>
    <n v="426.57"/>
    <n v="8104.83"/>
    <x v="2"/>
  </r>
  <r>
    <x v="105"/>
    <x v="0"/>
    <s v="Groceries"/>
    <x v="1"/>
    <x v="3"/>
    <n v="11"/>
    <n v="1463.17"/>
    <n v="16094.87"/>
    <x v="0"/>
  </r>
  <r>
    <x v="77"/>
    <x v="9"/>
    <s v="Food"/>
    <x v="1"/>
    <x v="0"/>
    <n v="2"/>
    <n v="3619.2"/>
    <n v="7238.4"/>
    <x v="6"/>
  </r>
  <r>
    <x v="106"/>
    <x v="7"/>
    <s v="Food"/>
    <x v="3"/>
    <x v="1"/>
    <n v="6"/>
    <n v="1024.6400000000001"/>
    <n v="6147.84"/>
    <x v="0"/>
  </r>
  <r>
    <x v="26"/>
    <x v="7"/>
    <s v="Food"/>
    <x v="3"/>
    <x v="4"/>
    <n v="12"/>
    <n v="615.12"/>
    <n v="7381.44"/>
    <x v="1"/>
  </r>
  <r>
    <x v="61"/>
    <x v="9"/>
    <s v="Food"/>
    <x v="1"/>
    <x v="0"/>
    <n v="4"/>
    <n v="3123.35"/>
    <n v="12493.4"/>
    <x v="4"/>
  </r>
  <r>
    <x v="89"/>
    <x v="6"/>
    <s v="Beverage"/>
    <x v="1"/>
    <x v="3"/>
    <n v="5"/>
    <n v="11070.37"/>
    <n v="55351.85"/>
    <x v="2"/>
  </r>
  <r>
    <x v="107"/>
    <x v="3"/>
    <s v="Food"/>
    <x v="3"/>
    <x v="3"/>
    <n v="1"/>
    <n v="1958.24"/>
    <n v="1958.24"/>
    <x v="5"/>
  </r>
  <r>
    <x v="108"/>
    <x v="6"/>
    <s v="Food"/>
    <x v="0"/>
    <x v="0"/>
    <n v="17"/>
    <n v="18156.55"/>
    <n v="308661.34999999998"/>
    <x v="2"/>
  </r>
  <r>
    <x v="103"/>
    <x v="3"/>
    <s v="Beverage"/>
    <x v="2"/>
    <x v="0"/>
    <n v="9"/>
    <n v="2057.5"/>
    <n v="18517.5"/>
    <x v="0"/>
  </r>
  <r>
    <x v="109"/>
    <x v="6"/>
    <s v="Beverage"/>
    <x v="3"/>
    <x v="1"/>
    <n v="8"/>
    <n v="17951.47"/>
    <n v="143611.76"/>
    <x v="2"/>
  </r>
  <r>
    <x v="105"/>
    <x v="7"/>
    <s v="Food"/>
    <x v="2"/>
    <x v="1"/>
    <n v="19"/>
    <n v="879.29"/>
    <n v="16706.509999999998"/>
    <x v="0"/>
  </r>
  <r>
    <x v="110"/>
    <x v="0"/>
    <s v="Food"/>
    <x v="2"/>
    <x v="3"/>
    <n v="18"/>
    <n v="1427.95"/>
    <n v="25703.1"/>
    <x v="4"/>
  </r>
  <r>
    <x v="111"/>
    <x v="2"/>
    <s v="Beverage"/>
    <x v="3"/>
    <x v="0"/>
    <n v="6"/>
    <n v="614.32000000000005"/>
    <n v="3685.92"/>
    <x v="6"/>
  </r>
  <r>
    <x v="12"/>
    <x v="6"/>
    <s v="Food"/>
    <x v="2"/>
    <x v="4"/>
    <n v="15"/>
    <n v="13955.02"/>
    <n v="209325.3"/>
    <x v="2"/>
  </r>
  <r>
    <x v="112"/>
    <x v="2"/>
    <s v="Groceries"/>
    <x v="0"/>
    <x v="0"/>
    <n v="6"/>
    <n v="758.34"/>
    <n v="4550.04"/>
    <x v="6"/>
  </r>
  <r>
    <x v="113"/>
    <x v="2"/>
    <s v="Beverage"/>
    <x v="3"/>
    <x v="2"/>
    <n v="15"/>
    <n v="736.31"/>
    <n v="11044.65"/>
    <x v="5"/>
  </r>
  <r>
    <x v="83"/>
    <x v="0"/>
    <s v="Beverage"/>
    <x v="0"/>
    <x v="0"/>
    <n v="4"/>
    <n v="1558.34"/>
    <n v="6233.36"/>
    <x v="1"/>
  </r>
  <r>
    <x v="114"/>
    <x v="8"/>
    <s v="Groceries"/>
    <x v="0"/>
    <x v="4"/>
    <n v="4"/>
    <n v="1041.93"/>
    <n v="4167.72"/>
    <x v="4"/>
  </r>
  <r>
    <x v="115"/>
    <x v="8"/>
    <s v="Groceries"/>
    <x v="1"/>
    <x v="4"/>
    <n v="6"/>
    <n v="1021.89"/>
    <n v="6131.34"/>
    <x v="3"/>
  </r>
  <r>
    <x v="82"/>
    <x v="0"/>
    <s v="Food"/>
    <x v="3"/>
    <x v="2"/>
    <n v="15"/>
    <n v="1414.05"/>
    <n v="21210.75"/>
    <x v="1"/>
  </r>
  <r>
    <x v="13"/>
    <x v="0"/>
    <s v="Food"/>
    <x v="1"/>
    <x v="0"/>
    <n v="19"/>
    <n v="1339.64"/>
    <n v="25453.16"/>
    <x v="1"/>
  </r>
  <r>
    <x v="116"/>
    <x v="1"/>
    <s v="Groceries"/>
    <x v="0"/>
    <x v="1"/>
    <n v="11"/>
    <n v="1147.9000000000001"/>
    <n v="12626.9"/>
    <x v="0"/>
  </r>
  <r>
    <x v="95"/>
    <x v="9"/>
    <s v="Beverage"/>
    <x v="3"/>
    <x v="3"/>
    <n v="14"/>
    <n v="3741.4"/>
    <n v="52379.6"/>
    <x v="3"/>
  </r>
  <r>
    <x v="117"/>
    <x v="2"/>
    <s v="Beverage"/>
    <x v="1"/>
    <x v="4"/>
    <n v="1"/>
    <n v="426.52"/>
    <n v="426.52"/>
    <x v="6"/>
  </r>
  <r>
    <x v="118"/>
    <x v="0"/>
    <s v="Food"/>
    <x v="3"/>
    <x v="1"/>
    <n v="8"/>
    <n v="1308.98"/>
    <n v="10471.84"/>
    <x v="6"/>
  </r>
  <r>
    <x v="119"/>
    <x v="1"/>
    <s v="Food"/>
    <x v="1"/>
    <x v="0"/>
    <n v="14"/>
    <n v="1134.56"/>
    <n v="15883.84"/>
    <x v="6"/>
  </r>
  <r>
    <x v="15"/>
    <x v="5"/>
    <s v="Food"/>
    <x v="1"/>
    <x v="1"/>
    <n v="14"/>
    <n v="1217.69"/>
    <n v="17047.66"/>
    <x v="5"/>
  </r>
  <r>
    <x v="120"/>
    <x v="6"/>
    <s v="Groceries"/>
    <x v="1"/>
    <x v="0"/>
    <n v="8"/>
    <n v="15971.05"/>
    <n v="127768.4"/>
    <x v="0"/>
  </r>
  <r>
    <x v="112"/>
    <x v="4"/>
    <s v="Beverage"/>
    <x v="3"/>
    <x v="4"/>
    <n v="9"/>
    <n v="3842.8"/>
    <n v="34585.199999999997"/>
    <x v="6"/>
  </r>
  <r>
    <x v="121"/>
    <x v="4"/>
    <s v="Beverage"/>
    <x v="0"/>
    <x v="3"/>
    <n v="7"/>
    <n v="4540.8599999999997"/>
    <n v="31786.02"/>
    <x v="4"/>
  </r>
  <r>
    <x v="122"/>
    <x v="6"/>
    <s v="Groceries"/>
    <x v="0"/>
    <x v="2"/>
    <n v="19"/>
    <n v="12734.04"/>
    <n v="241946.76"/>
    <x v="5"/>
  </r>
  <r>
    <x v="69"/>
    <x v="5"/>
    <s v="Beverage"/>
    <x v="2"/>
    <x v="4"/>
    <n v="17"/>
    <n v="1752.45"/>
    <n v="29791.65"/>
    <x v="5"/>
  </r>
  <r>
    <x v="123"/>
    <x v="1"/>
    <s v="Beverage"/>
    <x v="2"/>
    <x v="4"/>
    <n v="7"/>
    <n v="1156.79"/>
    <n v="8097.53"/>
    <x v="3"/>
  </r>
  <r>
    <x v="124"/>
    <x v="6"/>
    <s v="Beverage"/>
    <x v="1"/>
    <x v="2"/>
    <n v="8"/>
    <n v="15019.76"/>
    <n v="120158.08"/>
    <x v="5"/>
  </r>
  <r>
    <x v="16"/>
    <x v="5"/>
    <s v="Groceries"/>
    <x v="0"/>
    <x v="0"/>
    <n v="17"/>
    <n v="1082.8900000000001"/>
    <n v="18409.13"/>
    <x v="0"/>
  </r>
  <r>
    <x v="125"/>
    <x v="2"/>
    <s v="Groceries"/>
    <x v="1"/>
    <x v="4"/>
    <n v="14"/>
    <n v="677.06"/>
    <n v="9478.84"/>
    <x v="4"/>
  </r>
  <r>
    <x v="126"/>
    <x v="9"/>
    <s v="Food"/>
    <x v="1"/>
    <x v="0"/>
    <n v="4"/>
    <n v="2832.05"/>
    <n v="11328.2"/>
    <x v="0"/>
  </r>
  <r>
    <x v="127"/>
    <x v="5"/>
    <s v="Groceries"/>
    <x v="3"/>
    <x v="3"/>
    <n v="10"/>
    <n v="1857.69"/>
    <n v="18576.900000000001"/>
    <x v="4"/>
  </r>
  <r>
    <x v="128"/>
    <x v="6"/>
    <s v="Groceries"/>
    <x v="0"/>
    <x v="2"/>
    <n v="18"/>
    <n v="18302.939999999999"/>
    <n v="329452.92"/>
    <x v="6"/>
  </r>
  <r>
    <x v="129"/>
    <x v="6"/>
    <s v="Food"/>
    <x v="0"/>
    <x v="0"/>
    <n v="8"/>
    <n v="11436.98"/>
    <n v="91495.84"/>
    <x v="6"/>
  </r>
  <r>
    <x v="98"/>
    <x v="8"/>
    <s v="Groceries"/>
    <x v="0"/>
    <x v="4"/>
    <n v="15"/>
    <n v="1132.49"/>
    <n v="16987.349999999999"/>
    <x v="6"/>
  </r>
  <r>
    <x v="130"/>
    <x v="2"/>
    <s v="Beverage"/>
    <x v="3"/>
    <x v="0"/>
    <n v="16"/>
    <n v="562.99"/>
    <n v="9007.84"/>
    <x v="5"/>
  </r>
  <r>
    <x v="131"/>
    <x v="9"/>
    <s v="Food"/>
    <x v="1"/>
    <x v="3"/>
    <n v="7"/>
    <n v="3779.81"/>
    <n v="26458.67"/>
    <x v="5"/>
  </r>
  <r>
    <x v="132"/>
    <x v="5"/>
    <s v="Food"/>
    <x v="0"/>
    <x v="1"/>
    <n v="19"/>
    <n v="1574.74"/>
    <n v="29920.06"/>
    <x v="2"/>
  </r>
  <r>
    <x v="133"/>
    <x v="3"/>
    <s v="Beverage"/>
    <x v="2"/>
    <x v="1"/>
    <n v="11"/>
    <n v="2139.14"/>
    <n v="23530.54"/>
    <x v="4"/>
  </r>
  <r>
    <x v="134"/>
    <x v="5"/>
    <s v="Groceries"/>
    <x v="3"/>
    <x v="2"/>
    <n v="5"/>
    <n v="1360.67"/>
    <n v="6803.35"/>
    <x v="4"/>
  </r>
  <r>
    <x v="135"/>
    <x v="4"/>
    <s v="Beverage"/>
    <x v="2"/>
    <x v="2"/>
    <n v="3"/>
    <n v="6345.36"/>
    <n v="19036.080000000002"/>
    <x v="5"/>
  </r>
  <r>
    <x v="136"/>
    <x v="2"/>
    <s v="Food"/>
    <x v="1"/>
    <x v="0"/>
    <n v="14"/>
    <n v="589.58000000000004"/>
    <n v="8254.1200000000008"/>
    <x v="4"/>
  </r>
  <r>
    <x v="137"/>
    <x v="6"/>
    <s v="Beverage"/>
    <x v="0"/>
    <x v="4"/>
    <n v="14"/>
    <n v="17175.18"/>
    <n v="240452.52"/>
    <x v="2"/>
  </r>
  <r>
    <x v="10"/>
    <x v="4"/>
    <s v="Groceries"/>
    <x v="2"/>
    <x v="0"/>
    <n v="14"/>
    <n v="6453.21"/>
    <n v="90344.94"/>
    <x v="4"/>
  </r>
  <r>
    <x v="138"/>
    <x v="3"/>
    <s v="Groceries"/>
    <x v="2"/>
    <x v="0"/>
    <n v="6"/>
    <n v="3121.45"/>
    <n v="18728.7"/>
    <x v="6"/>
  </r>
  <r>
    <x v="139"/>
    <x v="1"/>
    <s v="Food"/>
    <x v="1"/>
    <x v="3"/>
    <n v="17"/>
    <n v="848.83"/>
    <n v="14430.11"/>
    <x v="0"/>
  </r>
  <r>
    <x v="140"/>
    <x v="5"/>
    <s v="Food"/>
    <x v="1"/>
    <x v="1"/>
    <n v="6"/>
    <n v="1708.97"/>
    <n v="10253.82"/>
    <x v="4"/>
  </r>
  <r>
    <x v="84"/>
    <x v="4"/>
    <s v="Food"/>
    <x v="0"/>
    <x v="3"/>
    <n v="13"/>
    <n v="6014.32"/>
    <n v="78186.16"/>
    <x v="2"/>
  </r>
  <r>
    <x v="141"/>
    <x v="1"/>
    <s v="Beverage"/>
    <x v="3"/>
    <x v="3"/>
    <n v="11"/>
    <n v="729.56"/>
    <n v="8025.16"/>
    <x v="6"/>
  </r>
  <r>
    <x v="142"/>
    <x v="0"/>
    <s v="Groceries"/>
    <x v="1"/>
    <x v="1"/>
    <n v="11"/>
    <n v="1047.8599999999999"/>
    <n v="11526.46"/>
    <x v="4"/>
  </r>
  <r>
    <x v="81"/>
    <x v="6"/>
    <s v="Groceries"/>
    <x v="0"/>
    <x v="0"/>
    <n v="2"/>
    <n v="14069.84"/>
    <n v="28139.68"/>
    <x v="3"/>
  </r>
  <r>
    <x v="143"/>
    <x v="9"/>
    <s v="Beverage"/>
    <x v="2"/>
    <x v="4"/>
    <n v="4"/>
    <n v="3583.67"/>
    <n v="14334.68"/>
    <x v="0"/>
  </r>
  <r>
    <x v="144"/>
    <x v="0"/>
    <s v="Groceries"/>
    <x v="2"/>
    <x v="0"/>
    <n v="13"/>
    <n v="951.36"/>
    <n v="12367.68"/>
    <x v="3"/>
  </r>
  <r>
    <x v="28"/>
    <x v="1"/>
    <s v="Beverage"/>
    <x v="2"/>
    <x v="4"/>
    <n v="9"/>
    <n v="819.83"/>
    <n v="7378.47"/>
    <x v="0"/>
  </r>
  <r>
    <x v="53"/>
    <x v="4"/>
    <s v="Food"/>
    <x v="0"/>
    <x v="3"/>
    <n v="7"/>
    <n v="3727.8"/>
    <n v="26094.6"/>
    <x v="3"/>
  </r>
  <r>
    <x v="105"/>
    <x v="7"/>
    <s v="Beverage"/>
    <x v="1"/>
    <x v="3"/>
    <n v="12"/>
    <n v="733.27"/>
    <n v="8799.24"/>
    <x v="0"/>
  </r>
  <r>
    <x v="145"/>
    <x v="6"/>
    <s v="Food"/>
    <x v="2"/>
    <x v="3"/>
    <n v="17"/>
    <n v="12166.2"/>
    <n v="206825.4"/>
    <x v="1"/>
  </r>
  <r>
    <x v="146"/>
    <x v="2"/>
    <s v="Groceries"/>
    <x v="3"/>
    <x v="1"/>
    <n v="17"/>
    <n v="657.16"/>
    <n v="11171.72"/>
    <x v="3"/>
  </r>
  <r>
    <x v="147"/>
    <x v="2"/>
    <s v="Food"/>
    <x v="1"/>
    <x v="4"/>
    <n v="12"/>
    <n v="499.64"/>
    <n v="5995.68"/>
    <x v="1"/>
  </r>
  <r>
    <x v="100"/>
    <x v="1"/>
    <s v="Groceries"/>
    <x v="3"/>
    <x v="3"/>
    <n v="16"/>
    <n v="1129.6300000000001"/>
    <n v="18074.080000000002"/>
    <x v="6"/>
  </r>
  <r>
    <x v="148"/>
    <x v="8"/>
    <s v="Beverage"/>
    <x v="1"/>
    <x v="1"/>
    <n v="7"/>
    <n v="878.41"/>
    <n v="6148.87"/>
    <x v="1"/>
  </r>
  <r>
    <x v="149"/>
    <x v="2"/>
    <s v="Beverage"/>
    <x v="0"/>
    <x v="1"/>
    <n v="18"/>
    <n v="688.22"/>
    <n v="12387.96"/>
    <x v="6"/>
  </r>
  <r>
    <x v="0"/>
    <x v="6"/>
    <s v="Beverage"/>
    <x v="0"/>
    <x v="0"/>
    <n v="12"/>
    <n v="11585.1"/>
    <n v="139021.20000000001"/>
    <x v="0"/>
  </r>
  <r>
    <x v="84"/>
    <x v="7"/>
    <s v="Food"/>
    <x v="0"/>
    <x v="3"/>
    <n v="12"/>
    <n v="834.77"/>
    <n v="10017.24"/>
    <x v="2"/>
  </r>
  <r>
    <x v="150"/>
    <x v="9"/>
    <s v="Food"/>
    <x v="2"/>
    <x v="3"/>
    <n v="1"/>
    <n v="4310.55"/>
    <n v="4310.55"/>
    <x v="5"/>
  </r>
  <r>
    <x v="20"/>
    <x v="3"/>
    <s v="Groceries"/>
    <x v="0"/>
    <x v="3"/>
    <n v="2"/>
    <n v="1781.9"/>
    <n v="3563.8"/>
    <x v="3"/>
  </r>
  <r>
    <x v="57"/>
    <x v="3"/>
    <s v="Groceries"/>
    <x v="0"/>
    <x v="2"/>
    <n v="17"/>
    <n v="2352.9"/>
    <n v="39999.300000000003"/>
    <x v="1"/>
  </r>
  <r>
    <x v="151"/>
    <x v="4"/>
    <s v="Groceries"/>
    <x v="2"/>
    <x v="3"/>
    <n v="7"/>
    <n v="5067.5600000000004"/>
    <n v="35472.92"/>
    <x v="2"/>
  </r>
  <r>
    <x v="59"/>
    <x v="6"/>
    <s v="Groceries"/>
    <x v="2"/>
    <x v="3"/>
    <n v="4"/>
    <n v="16939.98"/>
    <n v="67759.92"/>
    <x v="1"/>
  </r>
  <r>
    <x v="152"/>
    <x v="4"/>
    <s v="Food"/>
    <x v="2"/>
    <x v="4"/>
    <n v="15"/>
    <n v="4652.9799999999996"/>
    <n v="69794.7"/>
    <x v="4"/>
  </r>
  <r>
    <x v="153"/>
    <x v="0"/>
    <s v="Groceries"/>
    <x v="1"/>
    <x v="1"/>
    <n v="5"/>
    <n v="904.38"/>
    <n v="4521.8999999999996"/>
    <x v="6"/>
  </r>
  <r>
    <x v="147"/>
    <x v="5"/>
    <s v="Groceries"/>
    <x v="1"/>
    <x v="0"/>
    <n v="13"/>
    <n v="1940.27"/>
    <n v="25223.51"/>
    <x v="1"/>
  </r>
  <r>
    <x v="154"/>
    <x v="0"/>
    <s v="Groceries"/>
    <x v="3"/>
    <x v="2"/>
    <n v="19"/>
    <n v="1209.1400000000001"/>
    <n v="22973.66"/>
    <x v="3"/>
  </r>
  <r>
    <x v="155"/>
    <x v="3"/>
    <s v="Food"/>
    <x v="1"/>
    <x v="4"/>
    <n v="17"/>
    <n v="3185.91"/>
    <n v="54160.47"/>
    <x v="6"/>
  </r>
  <r>
    <x v="156"/>
    <x v="8"/>
    <s v="Food"/>
    <x v="1"/>
    <x v="4"/>
    <n v="9"/>
    <n v="1256.6500000000001"/>
    <n v="11309.85"/>
    <x v="3"/>
  </r>
  <r>
    <x v="157"/>
    <x v="1"/>
    <s v="Groceries"/>
    <x v="1"/>
    <x v="3"/>
    <n v="17"/>
    <n v="713.1"/>
    <n v="12122.7"/>
    <x v="3"/>
  </r>
  <r>
    <x v="158"/>
    <x v="7"/>
    <s v="Beverage"/>
    <x v="2"/>
    <x v="1"/>
    <n v="15"/>
    <n v="576.74"/>
    <n v="8651.1"/>
    <x v="4"/>
  </r>
  <r>
    <x v="159"/>
    <x v="8"/>
    <s v="Beverage"/>
    <x v="0"/>
    <x v="4"/>
    <n v="3"/>
    <n v="863.78"/>
    <n v="2591.34"/>
    <x v="0"/>
  </r>
  <r>
    <x v="138"/>
    <x v="4"/>
    <s v="Groceries"/>
    <x v="2"/>
    <x v="3"/>
    <n v="12"/>
    <n v="3606.27"/>
    <n v="43275.24"/>
    <x v="6"/>
  </r>
  <r>
    <x v="160"/>
    <x v="4"/>
    <s v="Food"/>
    <x v="0"/>
    <x v="0"/>
    <n v="2"/>
    <n v="4725.3599999999997"/>
    <n v="9450.7199999999993"/>
    <x v="0"/>
  </r>
  <r>
    <x v="161"/>
    <x v="2"/>
    <s v="Groceries"/>
    <x v="2"/>
    <x v="3"/>
    <n v="18"/>
    <n v="449.18"/>
    <n v="8085.24"/>
    <x v="3"/>
  </r>
  <r>
    <x v="118"/>
    <x v="8"/>
    <s v="Food"/>
    <x v="2"/>
    <x v="3"/>
    <n v="8"/>
    <n v="1229.74"/>
    <n v="9837.92"/>
    <x v="6"/>
  </r>
  <r>
    <x v="146"/>
    <x v="7"/>
    <s v="Beverage"/>
    <x v="0"/>
    <x v="3"/>
    <n v="8"/>
    <n v="831.55"/>
    <n v="6652.4"/>
    <x v="3"/>
  </r>
  <r>
    <x v="10"/>
    <x v="6"/>
    <s v="Beverage"/>
    <x v="3"/>
    <x v="0"/>
    <n v="16"/>
    <n v="16426.07"/>
    <n v="262817.12"/>
    <x v="4"/>
  </r>
  <r>
    <x v="162"/>
    <x v="4"/>
    <s v="Food"/>
    <x v="0"/>
    <x v="1"/>
    <n v="10"/>
    <n v="3817.5"/>
    <n v="38175"/>
    <x v="3"/>
  </r>
  <r>
    <x v="163"/>
    <x v="9"/>
    <s v="Groceries"/>
    <x v="2"/>
    <x v="0"/>
    <n v="13"/>
    <n v="4280.87"/>
    <n v="55651.31"/>
    <x v="6"/>
  </r>
  <r>
    <x v="164"/>
    <x v="5"/>
    <s v="Beverage"/>
    <x v="1"/>
    <x v="0"/>
    <n v="7"/>
    <n v="1194.68"/>
    <n v="8362.76"/>
    <x v="3"/>
  </r>
  <r>
    <x v="165"/>
    <x v="3"/>
    <s v="Beverage"/>
    <x v="2"/>
    <x v="1"/>
    <n v="12"/>
    <n v="1759.58"/>
    <n v="21114.959999999999"/>
    <x v="4"/>
  </r>
  <r>
    <x v="137"/>
    <x v="6"/>
    <s v="Food"/>
    <x v="2"/>
    <x v="3"/>
    <n v="13"/>
    <n v="17518.61"/>
    <n v="227741.93"/>
    <x v="2"/>
  </r>
  <r>
    <x v="50"/>
    <x v="7"/>
    <s v="Beverage"/>
    <x v="0"/>
    <x v="3"/>
    <n v="9"/>
    <n v="1022.24"/>
    <n v="9200.16"/>
    <x v="5"/>
  </r>
  <r>
    <x v="166"/>
    <x v="8"/>
    <s v="Food"/>
    <x v="1"/>
    <x v="2"/>
    <n v="4"/>
    <n v="740.7"/>
    <n v="2962.8"/>
    <x v="5"/>
  </r>
  <r>
    <x v="167"/>
    <x v="6"/>
    <s v="Beverage"/>
    <x v="2"/>
    <x v="3"/>
    <n v="1"/>
    <n v="11021.28"/>
    <n v="11021.28"/>
    <x v="1"/>
  </r>
  <r>
    <x v="168"/>
    <x v="3"/>
    <s v="Beverage"/>
    <x v="1"/>
    <x v="1"/>
    <n v="12"/>
    <n v="2874.48"/>
    <n v="34493.760000000002"/>
    <x v="6"/>
  </r>
  <r>
    <x v="144"/>
    <x v="0"/>
    <s v="Food"/>
    <x v="3"/>
    <x v="1"/>
    <n v="11"/>
    <n v="1431.49"/>
    <n v="15746.39"/>
    <x v="3"/>
  </r>
  <r>
    <x v="169"/>
    <x v="7"/>
    <s v="Groceries"/>
    <x v="1"/>
    <x v="3"/>
    <n v="2"/>
    <n v="691.34"/>
    <n v="1382.68"/>
    <x v="1"/>
  </r>
  <r>
    <x v="170"/>
    <x v="0"/>
    <s v="Food"/>
    <x v="0"/>
    <x v="1"/>
    <n v="9"/>
    <n v="957.81"/>
    <n v="8620.2900000000009"/>
    <x v="0"/>
  </r>
  <r>
    <x v="170"/>
    <x v="0"/>
    <s v="Beverage"/>
    <x v="0"/>
    <x v="2"/>
    <n v="11"/>
    <n v="1036.75"/>
    <n v="11404.25"/>
    <x v="0"/>
  </r>
  <r>
    <x v="171"/>
    <x v="2"/>
    <s v="Food"/>
    <x v="2"/>
    <x v="1"/>
    <n v="6"/>
    <n v="693.63"/>
    <n v="4161.78"/>
    <x v="6"/>
  </r>
  <r>
    <x v="16"/>
    <x v="1"/>
    <s v="Beverage"/>
    <x v="0"/>
    <x v="3"/>
    <n v="3"/>
    <n v="646.80999999999995"/>
    <n v="1940.43"/>
    <x v="0"/>
  </r>
  <r>
    <x v="172"/>
    <x v="2"/>
    <s v="Beverage"/>
    <x v="0"/>
    <x v="2"/>
    <n v="16"/>
    <n v="615.55999999999995"/>
    <n v="9848.9599999999991"/>
    <x v="6"/>
  </r>
  <r>
    <x v="32"/>
    <x v="4"/>
    <s v="Food"/>
    <x v="2"/>
    <x v="1"/>
    <n v="8"/>
    <n v="5812.77"/>
    <n v="46502.16"/>
    <x v="5"/>
  </r>
  <r>
    <x v="173"/>
    <x v="3"/>
    <s v="Groceries"/>
    <x v="0"/>
    <x v="1"/>
    <n v="12"/>
    <n v="1798.79"/>
    <n v="21585.48"/>
    <x v="4"/>
  </r>
  <r>
    <x v="118"/>
    <x v="1"/>
    <s v="Groceries"/>
    <x v="3"/>
    <x v="4"/>
    <n v="14"/>
    <n v="953.1"/>
    <n v="13343.4"/>
    <x v="6"/>
  </r>
  <r>
    <x v="103"/>
    <x v="0"/>
    <s v="Food"/>
    <x v="1"/>
    <x v="4"/>
    <n v="2"/>
    <n v="1414.24"/>
    <n v="2828.48"/>
    <x v="0"/>
  </r>
  <r>
    <x v="174"/>
    <x v="6"/>
    <s v="Food"/>
    <x v="1"/>
    <x v="3"/>
    <n v="14"/>
    <n v="19272.3"/>
    <n v="269812.2"/>
    <x v="6"/>
  </r>
  <r>
    <x v="175"/>
    <x v="4"/>
    <s v="Food"/>
    <x v="3"/>
    <x v="4"/>
    <n v="8"/>
    <n v="5672.86"/>
    <n v="45382.879999999997"/>
    <x v="0"/>
  </r>
  <r>
    <x v="113"/>
    <x v="2"/>
    <s v="Food"/>
    <x v="2"/>
    <x v="2"/>
    <n v="14"/>
    <n v="471.3"/>
    <n v="6598.2"/>
    <x v="5"/>
  </r>
  <r>
    <x v="176"/>
    <x v="9"/>
    <s v="Beverage"/>
    <x v="3"/>
    <x v="2"/>
    <n v="1"/>
    <n v="3625.26"/>
    <n v="3625.26"/>
    <x v="3"/>
  </r>
  <r>
    <x v="177"/>
    <x v="6"/>
    <s v="Beverage"/>
    <x v="2"/>
    <x v="4"/>
    <n v="9"/>
    <n v="13655.64"/>
    <n v="122900.76"/>
    <x v="5"/>
  </r>
  <r>
    <x v="178"/>
    <x v="0"/>
    <s v="Beverage"/>
    <x v="1"/>
    <x v="3"/>
    <n v="6"/>
    <n v="1248.6300000000001"/>
    <n v="7491.78"/>
    <x v="2"/>
  </r>
  <r>
    <x v="173"/>
    <x v="1"/>
    <s v="Beverage"/>
    <x v="0"/>
    <x v="3"/>
    <n v="10"/>
    <n v="720.44"/>
    <n v="7204.4"/>
    <x v="4"/>
  </r>
  <r>
    <x v="79"/>
    <x v="2"/>
    <s v="Groceries"/>
    <x v="2"/>
    <x v="0"/>
    <n v="6"/>
    <n v="634.12"/>
    <n v="3804.72"/>
    <x v="5"/>
  </r>
  <r>
    <x v="179"/>
    <x v="5"/>
    <s v="Groceries"/>
    <x v="3"/>
    <x v="4"/>
    <n v="18"/>
    <n v="1891.68"/>
    <n v="34050.239999999998"/>
    <x v="3"/>
  </r>
  <r>
    <x v="180"/>
    <x v="3"/>
    <s v="Beverage"/>
    <x v="3"/>
    <x v="0"/>
    <n v="7"/>
    <n v="2741.23"/>
    <n v="19188.61"/>
    <x v="4"/>
  </r>
  <r>
    <x v="36"/>
    <x v="0"/>
    <s v="Beverage"/>
    <x v="1"/>
    <x v="3"/>
    <n v="3"/>
    <n v="869.34"/>
    <n v="2608.02"/>
    <x v="0"/>
  </r>
  <r>
    <x v="133"/>
    <x v="1"/>
    <s v="Beverage"/>
    <x v="0"/>
    <x v="3"/>
    <n v="12"/>
    <n v="763.44"/>
    <n v="9161.2800000000007"/>
    <x v="4"/>
  </r>
  <r>
    <x v="69"/>
    <x v="7"/>
    <s v="Beverage"/>
    <x v="0"/>
    <x v="2"/>
    <n v="13"/>
    <n v="647.41999999999996"/>
    <n v="8416.4599999999991"/>
    <x v="5"/>
  </r>
  <r>
    <x v="102"/>
    <x v="8"/>
    <s v="Groceries"/>
    <x v="3"/>
    <x v="0"/>
    <n v="12"/>
    <n v="1033.22"/>
    <n v="12398.64"/>
    <x v="2"/>
  </r>
  <r>
    <x v="181"/>
    <x v="9"/>
    <s v="Food"/>
    <x v="3"/>
    <x v="4"/>
    <n v="3"/>
    <n v="2621.21"/>
    <n v="7863.63"/>
    <x v="6"/>
  </r>
  <r>
    <x v="182"/>
    <x v="7"/>
    <s v="Food"/>
    <x v="2"/>
    <x v="4"/>
    <n v="7"/>
    <n v="782.06"/>
    <n v="5474.42"/>
    <x v="0"/>
  </r>
  <r>
    <x v="104"/>
    <x v="8"/>
    <s v="Groceries"/>
    <x v="1"/>
    <x v="1"/>
    <n v="5"/>
    <n v="907.56"/>
    <n v="4537.8"/>
    <x v="2"/>
  </r>
  <r>
    <x v="183"/>
    <x v="0"/>
    <s v="Beverage"/>
    <x v="2"/>
    <x v="0"/>
    <n v="9"/>
    <n v="1155.8"/>
    <n v="10402.200000000001"/>
    <x v="2"/>
  </r>
  <r>
    <x v="184"/>
    <x v="3"/>
    <s v="Beverage"/>
    <x v="0"/>
    <x v="3"/>
    <n v="4"/>
    <n v="2382.58"/>
    <n v="9530.32"/>
    <x v="0"/>
  </r>
  <r>
    <x v="182"/>
    <x v="7"/>
    <s v="Beverage"/>
    <x v="1"/>
    <x v="1"/>
    <n v="12"/>
    <n v="744.25"/>
    <n v="8931"/>
    <x v="0"/>
  </r>
  <r>
    <x v="185"/>
    <x v="2"/>
    <s v="Food"/>
    <x v="0"/>
    <x v="4"/>
    <n v="3"/>
    <n v="699.36"/>
    <n v="2098.08"/>
    <x v="5"/>
  </r>
  <r>
    <x v="1"/>
    <x v="5"/>
    <s v="Beverage"/>
    <x v="3"/>
    <x v="3"/>
    <n v="5"/>
    <n v="1818.95"/>
    <n v="9094.75"/>
    <x v="1"/>
  </r>
  <r>
    <x v="186"/>
    <x v="9"/>
    <s v="Food"/>
    <x v="0"/>
    <x v="4"/>
    <n v="2"/>
    <n v="2650.05"/>
    <n v="5300.1"/>
    <x v="4"/>
  </r>
  <r>
    <x v="187"/>
    <x v="4"/>
    <s v="Food"/>
    <x v="3"/>
    <x v="3"/>
    <n v="3"/>
    <n v="5470.21"/>
    <n v="16410.63"/>
    <x v="0"/>
  </r>
  <r>
    <x v="81"/>
    <x v="5"/>
    <s v="Groceries"/>
    <x v="0"/>
    <x v="0"/>
    <n v="10"/>
    <n v="1116.1500000000001"/>
    <n v="11161.5"/>
    <x v="3"/>
  </r>
  <r>
    <x v="9"/>
    <x v="1"/>
    <s v="Food"/>
    <x v="1"/>
    <x v="2"/>
    <n v="9"/>
    <n v="862.68"/>
    <n v="7764.12"/>
    <x v="5"/>
  </r>
  <r>
    <x v="188"/>
    <x v="2"/>
    <s v="Groceries"/>
    <x v="3"/>
    <x v="4"/>
    <n v="11"/>
    <n v="685.1"/>
    <n v="7536.1"/>
    <x v="3"/>
  </r>
  <r>
    <x v="189"/>
    <x v="8"/>
    <s v="Food"/>
    <x v="2"/>
    <x v="2"/>
    <n v="15"/>
    <n v="1220.96"/>
    <n v="18314.400000000001"/>
    <x v="6"/>
  </r>
  <r>
    <x v="20"/>
    <x v="0"/>
    <s v="Beverage"/>
    <x v="1"/>
    <x v="3"/>
    <n v="9"/>
    <n v="1222.44"/>
    <n v="11001.96"/>
    <x v="3"/>
  </r>
  <r>
    <x v="190"/>
    <x v="1"/>
    <s v="Food"/>
    <x v="2"/>
    <x v="0"/>
    <n v="6"/>
    <n v="727.21"/>
    <n v="4363.26"/>
    <x v="4"/>
  </r>
  <r>
    <x v="3"/>
    <x v="8"/>
    <s v="Food"/>
    <x v="2"/>
    <x v="0"/>
    <n v="14"/>
    <n v="1112.92"/>
    <n v="15580.88"/>
    <x v="3"/>
  </r>
  <r>
    <x v="188"/>
    <x v="8"/>
    <s v="Beverage"/>
    <x v="3"/>
    <x v="0"/>
    <n v="11"/>
    <n v="710.43"/>
    <n v="7814.73"/>
    <x v="3"/>
  </r>
  <r>
    <x v="63"/>
    <x v="3"/>
    <s v="Food"/>
    <x v="2"/>
    <x v="0"/>
    <n v="18"/>
    <n v="2263.98"/>
    <n v="40751.64"/>
    <x v="2"/>
  </r>
  <r>
    <x v="2"/>
    <x v="0"/>
    <s v="Groceries"/>
    <x v="3"/>
    <x v="1"/>
    <n v="16"/>
    <n v="1516.67"/>
    <n v="24266.720000000001"/>
    <x v="2"/>
  </r>
  <r>
    <x v="129"/>
    <x v="3"/>
    <s v="Food"/>
    <x v="2"/>
    <x v="1"/>
    <n v="6"/>
    <n v="3052.21"/>
    <n v="18313.259999999998"/>
    <x v="6"/>
  </r>
  <r>
    <x v="55"/>
    <x v="3"/>
    <s v="Food"/>
    <x v="0"/>
    <x v="3"/>
    <n v="11"/>
    <n v="2774.87"/>
    <n v="30523.57"/>
    <x v="1"/>
  </r>
  <r>
    <x v="191"/>
    <x v="3"/>
    <s v="Food"/>
    <x v="1"/>
    <x v="4"/>
    <n v="12"/>
    <n v="1919.66"/>
    <n v="23035.919999999998"/>
    <x v="1"/>
  </r>
  <r>
    <x v="192"/>
    <x v="0"/>
    <s v="Food"/>
    <x v="2"/>
    <x v="0"/>
    <n v="16"/>
    <n v="1435.32"/>
    <n v="22965.119999999999"/>
    <x v="1"/>
  </r>
  <r>
    <x v="193"/>
    <x v="8"/>
    <s v="Food"/>
    <x v="1"/>
    <x v="2"/>
    <n v="2"/>
    <n v="1299.6500000000001"/>
    <n v="2599.3000000000002"/>
    <x v="3"/>
  </r>
  <r>
    <x v="12"/>
    <x v="4"/>
    <s v="Food"/>
    <x v="2"/>
    <x v="4"/>
    <n v="16"/>
    <n v="5757.28"/>
    <n v="92116.479999999996"/>
    <x v="2"/>
  </r>
  <r>
    <x v="151"/>
    <x v="4"/>
    <s v="Groceries"/>
    <x v="3"/>
    <x v="3"/>
    <n v="6"/>
    <n v="4481.1000000000004"/>
    <n v="26886.6"/>
    <x v="2"/>
  </r>
  <r>
    <x v="194"/>
    <x v="7"/>
    <s v="Beverage"/>
    <x v="1"/>
    <x v="3"/>
    <n v="13"/>
    <n v="942.95"/>
    <n v="12258.35"/>
    <x v="5"/>
  </r>
  <r>
    <x v="195"/>
    <x v="6"/>
    <s v="Beverage"/>
    <x v="1"/>
    <x v="4"/>
    <n v="15"/>
    <n v="16171.88"/>
    <n v="242578.2"/>
    <x v="3"/>
  </r>
  <r>
    <x v="154"/>
    <x v="8"/>
    <s v="Groceries"/>
    <x v="3"/>
    <x v="1"/>
    <n v="1"/>
    <n v="842.53"/>
    <n v="842.53"/>
    <x v="3"/>
  </r>
  <r>
    <x v="130"/>
    <x v="9"/>
    <s v="Beverage"/>
    <x v="0"/>
    <x v="0"/>
    <n v="8"/>
    <n v="3853.25"/>
    <n v="30826"/>
    <x v="5"/>
  </r>
  <r>
    <x v="155"/>
    <x v="3"/>
    <s v="Beverage"/>
    <x v="2"/>
    <x v="0"/>
    <n v="8"/>
    <n v="2528.62"/>
    <n v="20228.96"/>
    <x v="6"/>
  </r>
  <r>
    <x v="184"/>
    <x v="1"/>
    <s v="Food"/>
    <x v="3"/>
    <x v="1"/>
    <n v="2"/>
    <n v="914.38"/>
    <n v="1828.76"/>
    <x v="0"/>
  </r>
  <r>
    <x v="196"/>
    <x v="0"/>
    <s v="Groceries"/>
    <x v="0"/>
    <x v="3"/>
    <n v="12"/>
    <n v="1527.98"/>
    <n v="18335.759999999998"/>
    <x v="4"/>
  </r>
  <r>
    <x v="197"/>
    <x v="5"/>
    <s v="Groceries"/>
    <x v="0"/>
    <x v="1"/>
    <n v="15"/>
    <n v="1269.1300000000001"/>
    <n v="19036.95"/>
    <x v="2"/>
  </r>
  <r>
    <x v="198"/>
    <x v="7"/>
    <s v="Groceries"/>
    <x v="3"/>
    <x v="1"/>
    <n v="13"/>
    <n v="728.78"/>
    <n v="9474.14"/>
    <x v="2"/>
  </r>
  <r>
    <x v="199"/>
    <x v="0"/>
    <s v="Food"/>
    <x v="3"/>
    <x v="0"/>
    <n v="15"/>
    <n v="1223.23"/>
    <n v="18348.45"/>
    <x v="3"/>
  </r>
  <r>
    <x v="72"/>
    <x v="1"/>
    <s v="Beverage"/>
    <x v="1"/>
    <x v="3"/>
    <n v="17"/>
    <n v="1157.43"/>
    <n v="19676.310000000001"/>
    <x v="3"/>
  </r>
  <r>
    <x v="61"/>
    <x v="4"/>
    <s v="Beverage"/>
    <x v="0"/>
    <x v="2"/>
    <n v="10"/>
    <n v="5899.34"/>
    <n v="58993.4"/>
    <x v="4"/>
  </r>
  <r>
    <x v="200"/>
    <x v="5"/>
    <s v="Groceries"/>
    <x v="3"/>
    <x v="4"/>
    <n v="10"/>
    <n v="1216.71"/>
    <n v="12167.1"/>
    <x v="0"/>
  </r>
  <r>
    <x v="201"/>
    <x v="0"/>
    <s v="Beverage"/>
    <x v="0"/>
    <x v="4"/>
    <n v="12"/>
    <n v="871.26"/>
    <n v="10455.120000000001"/>
    <x v="6"/>
  </r>
  <r>
    <x v="202"/>
    <x v="5"/>
    <s v="Beverage"/>
    <x v="1"/>
    <x v="1"/>
    <n v="9"/>
    <n v="1764.37"/>
    <n v="15879.33"/>
    <x v="0"/>
  </r>
  <r>
    <x v="203"/>
    <x v="1"/>
    <s v="Beverage"/>
    <x v="2"/>
    <x v="1"/>
    <n v="10"/>
    <n v="1116.01"/>
    <n v="11160.1"/>
    <x v="0"/>
  </r>
  <r>
    <x v="36"/>
    <x v="6"/>
    <s v="Beverage"/>
    <x v="0"/>
    <x v="1"/>
    <n v="4"/>
    <n v="12973.25"/>
    <n v="51893"/>
    <x v="0"/>
  </r>
  <r>
    <x v="204"/>
    <x v="0"/>
    <s v="Groceries"/>
    <x v="1"/>
    <x v="4"/>
    <n v="18"/>
    <n v="1391.99"/>
    <n v="25055.82"/>
    <x v="0"/>
  </r>
  <r>
    <x v="177"/>
    <x v="8"/>
    <s v="Groceries"/>
    <x v="2"/>
    <x v="0"/>
    <n v="12"/>
    <n v="1217.68"/>
    <n v="14612.16"/>
    <x v="5"/>
  </r>
  <r>
    <x v="102"/>
    <x v="8"/>
    <s v="Food"/>
    <x v="1"/>
    <x v="1"/>
    <n v="15"/>
    <n v="838.15"/>
    <n v="12572.25"/>
    <x v="2"/>
  </r>
  <r>
    <x v="158"/>
    <x v="1"/>
    <s v="Food"/>
    <x v="1"/>
    <x v="1"/>
    <n v="2"/>
    <n v="778.25"/>
    <n v="1556.5"/>
    <x v="4"/>
  </r>
  <r>
    <x v="205"/>
    <x v="8"/>
    <s v="Beverage"/>
    <x v="0"/>
    <x v="3"/>
    <n v="7"/>
    <n v="1134.71"/>
    <n v="7942.97"/>
    <x v="5"/>
  </r>
  <r>
    <x v="27"/>
    <x v="7"/>
    <s v="Beverage"/>
    <x v="1"/>
    <x v="3"/>
    <n v="7"/>
    <n v="930.86"/>
    <n v="6516.02"/>
    <x v="2"/>
  </r>
  <r>
    <x v="201"/>
    <x v="2"/>
    <s v="Food"/>
    <x v="2"/>
    <x v="2"/>
    <n v="3"/>
    <n v="564.42999999999995"/>
    <n v="1693.29"/>
    <x v="6"/>
  </r>
  <r>
    <x v="162"/>
    <x v="9"/>
    <s v="Food"/>
    <x v="0"/>
    <x v="2"/>
    <n v="13"/>
    <n v="3540.03"/>
    <n v="46020.39"/>
    <x v="3"/>
  </r>
  <r>
    <x v="206"/>
    <x v="8"/>
    <s v="Groceries"/>
    <x v="3"/>
    <x v="1"/>
    <n v="8"/>
    <n v="1228.05"/>
    <n v="9824.4"/>
    <x v="5"/>
  </r>
  <r>
    <x v="7"/>
    <x v="7"/>
    <s v="Beverage"/>
    <x v="3"/>
    <x v="1"/>
    <n v="3"/>
    <n v="651.36"/>
    <n v="1954.08"/>
    <x v="6"/>
  </r>
  <r>
    <x v="206"/>
    <x v="5"/>
    <s v="Beverage"/>
    <x v="1"/>
    <x v="4"/>
    <n v="3"/>
    <n v="1707.59"/>
    <n v="5122.7700000000004"/>
    <x v="5"/>
  </r>
  <r>
    <x v="125"/>
    <x v="0"/>
    <s v="Beverage"/>
    <x v="3"/>
    <x v="3"/>
    <n v="4"/>
    <n v="1532.4"/>
    <n v="6129.6"/>
    <x v="4"/>
  </r>
  <r>
    <x v="207"/>
    <x v="4"/>
    <s v="Groceries"/>
    <x v="3"/>
    <x v="3"/>
    <n v="16"/>
    <n v="3503.71"/>
    <n v="56059.360000000001"/>
    <x v="2"/>
  </r>
  <r>
    <x v="72"/>
    <x v="0"/>
    <s v="Groceries"/>
    <x v="3"/>
    <x v="1"/>
    <n v="19"/>
    <n v="949.74"/>
    <n v="18045.060000000001"/>
    <x v="3"/>
  </r>
  <r>
    <x v="208"/>
    <x v="0"/>
    <s v="Food"/>
    <x v="2"/>
    <x v="1"/>
    <n v="6"/>
    <n v="1025.07"/>
    <n v="6150.42"/>
    <x v="0"/>
  </r>
  <r>
    <x v="18"/>
    <x v="6"/>
    <s v="Food"/>
    <x v="3"/>
    <x v="2"/>
    <n v="6"/>
    <n v="11933.74"/>
    <n v="71602.44"/>
    <x v="2"/>
  </r>
  <r>
    <x v="209"/>
    <x v="0"/>
    <s v="Food"/>
    <x v="0"/>
    <x v="3"/>
    <n v="13"/>
    <n v="1099.3"/>
    <n v="14290.9"/>
    <x v="1"/>
  </r>
  <r>
    <x v="139"/>
    <x v="3"/>
    <s v="Groceries"/>
    <x v="2"/>
    <x v="4"/>
    <n v="1"/>
    <n v="2208.29"/>
    <n v="2208.29"/>
    <x v="0"/>
  </r>
  <r>
    <x v="210"/>
    <x v="5"/>
    <s v="Beverage"/>
    <x v="3"/>
    <x v="3"/>
    <n v="6"/>
    <n v="1877.45"/>
    <n v="11264.7"/>
    <x v="0"/>
  </r>
  <r>
    <x v="211"/>
    <x v="9"/>
    <s v="Food"/>
    <x v="3"/>
    <x v="3"/>
    <n v="12"/>
    <n v="4404.25"/>
    <n v="52851"/>
    <x v="3"/>
  </r>
  <r>
    <x v="212"/>
    <x v="9"/>
    <s v="Beverage"/>
    <x v="2"/>
    <x v="0"/>
    <n v="10"/>
    <n v="4272.92"/>
    <n v="42729.2"/>
    <x v="2"/>
  </r>
  <r>
    <x v="77"/>
    <x v="7"/>
    <s v="Groceries"/>
    <x v="3"/>
    <x v="4"/>
    <n v="15"/>
    <n v="753.43"/>
    <n v="11301.45"/>
    <x v="6"/>
  </r>
  <r>
    <x v="19"/>
    <x v="3"/>
    <s v="Groceries"/>
    <x v="1"/>
    <x v="2"/>
    <n v="18"/>
    <n v="2711.46"/>
    <n v="48806.28"/>
    <x v="3"/>
  </r>
  <r>
    <x v="69"/>
    <x v="3"/>
    <s v="Food"/>
    <x v="2"/>
    <x v="4"/>
    <n v="4"/>
    <n v="2659.56"/>
    <n v="10638.24"/>
    <x v="5"/>
  </r>
  <r>
    <x v="213"/>
    <x v="9"/>
    <s v="Beverage"/>
    <x v="2"/>
    <x v="2"/>
    <n v="3"/>
    <n v="4450.87"/>
    <n v="13352.61"/>
    <x v="4"/>
  </r>
  <r>
    <x v="69"/>
    <x v="8"/>
    <s v="Beverage"/>
    <x v="3"/>
    <x v="1"/>
    <n v="2"/>
    <n v="1003.66"/>
    <n v="2007.32"/>
    <x v="5"/>
  </r>
  <r>
    <x v="169"/>
    <x v="0"/>
    <s v="Food"/>
    <x v="3"/>
    <x v="2"/>
    <n v="13"/>
    <n v="1514.24"/>
    <n v="19685.12"/>
    <x v="1"/>
  </r>
  <r>
    <x v="190"/>
    <x v="3"/>
    <s v="Food"/>
    <x v="3"/>
    <x v="1"/>
    <n v="11"/>
    <n v="2679.38"/>
    <n v="29473.18"/>
    <x v="4"/>
  </r>
  <r>
    <x v="32"/>
    <x v="5"/>
    <s v="Groceries"/>
    <x v="0"/>
    <x v="0"/>
    <n v="5"/>
    <n v="1752.69"/>
    <n v="8763.4500000000007"/>
    <x v="5"/>
  </r>
  <r>
    <x v="214"/>
    <x v="4"/>
    <s v="Beverage"/>
    <x v="1"/>
    <x v="0"/>
    <n v="18"/>
    <n v="3673.34"/>
    <n v="66120.12"/>
    <x v="2"/>
  </r>
  <r>
    <x v="99"/>
    <x v="4"/>
    <s v="Groceries"/>
    <x v="0"/>
    <x v="4"/>
    <n v="3"/>
    <n v="3723.89"/>
    <n v="11171.67"/>
    <x v="2"/>
  </r>
  <r>
    <x v="215"/>
    <x v="7"/>
    <s v="Groceries"/>
    <x v="3"/>
    <x v="2"/>
    <n v="1"/>
    <n v="804.52"/>
    <n v="804.52"/>
    <x v="1"/>
  </r>
  <r>
    <x v="0"/>
    <x v="2"/>
    <s v="Food"/>
    <x v="2"/>
    <x v="2"/>
    <n v="4"/>
    <n v="609.73"/>
    <n v="2438.92"/>
    <x v="0"/>
  </r>
  <r>
    <x v="18"/>
    <x v="3"/>
    <s v="Groceries"/>
    <x v="2"/>
    <x v="2"/>
    <n v="3"/>
    <n v="2301.64"/>
    <n v="6904.92"/>
    <x v="2"/>
  </r>
  <r>
    <x v="119"/>
    <x v="9"/>
    <s v="Beverage"/>
    <x v="0"/>
    <x v="1"/>
    <n v="5"/>
    <n v="2473.17"/>
    <n v="12365.85"/>
    <x v="6"/>
  </r>
  <r>
    <x v="110"/>
    <x v="8"/>
    <s v="Beverage"/>
    <x v="1"/>
    <x v="1"/>
    <n v="10"/>
    <n v="1108.58"/>
    <n v="11085.8"/>
    <x v="4"/>
  </r>
  <r>
    <x v="59"/>
    <x v="8"/>
    <s v="Beverage"/>
    <x v="1"/>
    <x v="1"/>
    <n v="18"/>
    <n v="738.77"/>
    <n v="13297.86"/>
    <x v="1"/>
  </r>
  <r>
    <x v="158"/>
    <x v="0"/>
    <s v="Food"/>
    <x v="0"/>
    <x v="4"/>
    <n v="11"/>
    <n v="1167.1500000000001"/>
    <n v="12838.65"/>
    <x v="4"/>
  </r>
  <r>
    <x v="51"/>
    <x v="5"/>
    <s v="Food"/>
    <x v="1"/>
    <x v="2"/>
    <n v="2"/>
    <n v="1342.21"/>
    <n v="2684.42"/>
    <x v="2"/>
  </r>
  <r>
    <x v="216"/>
    <x v="3"/>
    <s v="Groceries"/>
    <x v="2"/>
    <x v="1"/>
    <n v="6"/>
    <n v="2338.59"/>
    <n v="14031.54"/>
    <x v="2"/>
  </r>
  <r>
    <x v="212"/>
    <x v="6"/>
    <s v="Food"/>
    <x v="3"/>
    <x v="4"/>
    <n v="9"/>
    <n v="18985.48"/>
    <n v="170869.32"/>
    <x v="2"/>
  </r>
  <r>
    <x v="206"/>
    <x v="6"/>
    <s v="Beverage"/>
    <x v="1"/>
    <x v="3"/>
    <n v="8"/>
    <n v="14653.3"/>
    <n v="117226.4"/>
    <x v="5"/>
  </r>
  <r>
    <x v="198"/>
    <x v="5"/>
    <s v="Beverage"/>
    <x v="3"/>
    <x v="0"/>
    <n v="8"/>
    <n v="1254.27"/>
    <n v="10034.16"/>
    <x v="2"/>
  </r>
  <r>
    <x v="217"/>
    <x v="2"/>
    <s v="Food"/>
    <x v="0"/>
    <x v="1"/>
    <n v="12"/>
    <n v="604.4"/>
    <n v="7252.8"/>
    <x v="2"/>
  </r>
  <r>
    <x v="218"/>
    <x v="2"/>
    <s v="Food"/>
    <x v="3"/>
    <x v="4"/>
    <n v="11"/>
    <n v="657.25"/>
    <n v="7229.75"/>
    <x v="3"/>
  </r>
  <r>
    <x v="143"/>
    <x v="6"/>
    <s v="Food"/>
    <x v="3"/>
    <x v="1"/>
    <n v="8"/>
    <n v="13679.26"/>
    <n v="109434.08"/>
    <x v="0"/>
  </r>
  <r>
    <x v="219"/>
    <x v="0"/>
    <s v="Groceries"/>
    <x v="0"/>
    <x v="0"/>
    <n v="19"/>
    <n v="965.36"/>
    <n v="18341.84"/>
    <x v="5"/>
  </r>
  <r>
    <x v="13"/>
    <x v="8"/>
    <s v="Beverage"/>
    <x v="1"/>
    <x v="3"/>
    <n v="6"/>
    <n v="749.57"/>
    <n v="4497.42"/>
    <x v="1"/>
  </r>
  <r>
    <x v="75"/>
    <x v="6"/>
    <s v="Groceries"/>
    <x v="3"/>
    <x v="4"/>
    <n v="9"/>
    <n v="13937.46"/>
    <n v="125437.14"/>
    <x v="3"/>
  </r>
  <r>
    <x v="220"/>
    <x v="0"/>
    <s v="Beverage"/>
    <x v="3"/>
    <x v="4"/>
    <n v="9"/>
    <n v="1531.08"/>
    <n v="13779.72"/>
    <x v="2"/>
  </r>
  <r>
    <x v="102"/>
    <x v="3"/>
    <s v="Beverage"/>
    <x v="2"/>
    <x v="2"/>
    <n v="12"/>
    <n v="2461.5"/>
    <n v="29538"/>
    <x v="2"/>
  </r>
  <r>
    <x v="221"/>
    <x v="9"/>
    <s v="Food"/>
    <x v="2"/>
    <x v="2"/>
    <n v="2"/>
    <n v="2719"/>
    <n v="5438"/>
    <x v="4"/>
  </r>
  <r>
    <x v="203"/>
    <x v="6"/>
    <s v="Beverage"/>
    <x v="0"/>
    <x v="4"/>
    <n v="8"/>
    <n v="14388.69"/>
    <n v="115109.52"/>
    <x v="0"/>
  </r>
  <r>
    <x v="222"/>
    <x v="1"/>
    <s v="Food"/>
    <x v="1"/>
    <x v="2"/>
    <n v="12"/>
    <n v="736.63"/>
    <n v="8839.56"/>
    <x v="0"/>
  </r>
  <r>
    <x v="173"/>
    <x v="6"/>
    <s v="Food"/>
    <x v="0"/>
    <x v="3"/>
    <n v="7"/>
    <n v="18118.63"/>
    <n v="126830.41"/>
    <x v="4"/>
  </r>
  <r>
    <x v="67"/>
    <x v="3"/>
    <s v="Food"/>
    <x v="2"/>
    <x v="1"/>
    <n v="8"/>
    <n v="2872.29"/>
    <n v="22978.32"/>
    <x v="1"/>
  </r>
  <r>
    <x v="101"/>
    <x v="5"/>
    <s v="Groceries"/>
    <x v="3"/>
    <x v="0"/>
    <n v="11"/>
    <n v="1292.4000000000001"/>
    <n v="14216.4"/>
    <x v="2"/>
  </r>
  <r>
    <x v="76"/>
    <x v="3"/>
    <s v="Beverage"/>
    <x v="2"/>
    <x v="1"/>
    <n v="15"/>
    <n v="1887.81"/>
    <n v="28317.15"/>
    <x v="0"/>
  </r>
  <r>
    <x v="7"/>
    <x v="7"/>
    <s v="Groceries"/>
    <x v="3"/>
    <x v="2"/>
    <n v="13"/>
    <n v="758.44"/>
    <n v="9859.7199999999993"/>
    <x v="6"/>
  </r>
  <r>
    <x v="223"/>
    <x v="6"/>
    <s v="Groceries"/>
    <x v="0"/>
    <x v="0"/>
    <n v="7"/>
    <n v="15694.56"/>
    <n v="109861.92"/>
    <x v="2"/>
  </r>
  <r>
    <x v="172"/>
    <x v="8"/>
    <s v="Groceries"/>
    <x v="3"/>
    <x v="3"/>
    <n v="16"/>
    <n v="1187.05"/>
    <n v="18992.8"/>
    <x v="6"/>
  </r>
  <r>
    <x v="183"/>
    <x v="8"/>
    <s v="Groceries"/>
    <x v="2"/>
    <x v="2"/>
    <n v="8"/>
    <n v="816.37"/>
    <n v="6530.96"/>
    <x v="2"/>
  </r>
  <r>
    <x v="4"/>
    <x v="1"/>
    <s v="Beverage"/>
    <x v="0"/>
    <x v="4"/>
    <n v="10"/>
    <n v="1030.8699999999999"/>
    <n v="10308.700000000001"/>
    <x v="0"/>
  </r>
  <r>
    <x v="60"/>
    <x v="5"/>
    <s v="Groceries"/>
    <x v="0"/>
    <x v="3"/>
    <n v="9"/>
    <n v="1387.73"/>
    <n v="12489.57"/>
    <x v="6"/>
  </r>
  <r>
    <x v="55"/>
    <x v="1"/>
    <s v="Beverage"/>
    <x v="1"/>
    <x v="2"/>
    <n v="17"/>
    <n v="635.96"/>
    <n v="10811.32"/>
    <x v="1"/>
  </r>
  <r>
    <x v="224"/>
    <x v="3"/>
    <s v="Food"/>
    <x v="2"/>
    <x v="2"/>
    <n v="11"/>
    <n v="2884.4"/>
    <n v="31728.400000000001"/>
    <x v="1"/>
  </r>
  <r>
    <x v="44"/>
    <x v="5"/>
    <s v="Beverage"/>
    <x v="3"/>
    <x v="0"/>
    <n v="5"/>
    <n v="1162.24"/>
    <n v="5811.2"/>
    <x v="4"/>
  </r>
  <r>
    <x v="94"/>
    <x v="0"/>
    <s v="Beverage"/>
    <x v="3"/>
    <x v="0"/>
    <n v="5"/>
    <n v="1317.39"/>
    <n v="6586.95"/>
    <x v="4"/>
  </r>
  <r>
    <x v="225"/>
    <x v="2"/>
    <s v="Groceries"/>
    <x v="2"/>
    <x v="3"/>
    <n v="6"/>
    <n v="480.08"/>
    <n v="2880.48"/>
    <x v="1"/>
  </r>
  <r>
    <x v="133"/>
    <x v="4"/>
    <s v="Food"/>
    <x v="3"/>
    <x v="4"/>
    <n v="7"/>
    <n v="4942.92"/>
    <n v="34600.44"/>
    <x v="4"/>
  </r>
  <r>
    <x v="226"/>
    <x v="7"/>
    <s v="Food"/>
    <x v="3"/>
    <x v="3"/>
    <n v="4"/>
    <n v="585.35"/>
    <n v="2341.4"/>
    <x v="2"/>
  </r>
  <r>
    <x v="227"/>
    <x v="3"/>
    <s v="Beverage"/>
    <x v="1"/>
    <x v="0"/>
    <n v="19"/>
    <n v="2497.38"/>
    <n v="47450.22"/>
    <x v="3"/>
  </r>
  <r>
    <x v="181"/>
    <x v="9"/>
    <s v="Food"/>
    <x v="3"/>
    <x v="3"/>
    <n v="6"/>
    <n v="2890.67"/>
    <n v="17344.02"/>
    <x v="6"/>
  </r>
  <r>
    <x v="165"/>
    <x v="7"/>
    <s v="Food"/>
    <x v="3"/>
    <x v="4"/>
    <n v="1"/>
    <n v="602.53"/>
    <n v="602.53"/>
    <x v="4"/>
  </r>
  <r>
    <x v="228"/>
    <x v="6"/>
    <s v="Groceries"/>
    <x v="3"/>
    <x v="0"/>
    <n v="15"/>
    <n v="19485.13"/>
    <n v="292276.95"/>
    <x v="5"/>
  </r>
  <r>
    <x v="229"/>
    <x v="6"/>
    <s v="Food"/>
    <x v="1"/>
    <x v="2"/>
    <n v="16"/>
    <n v="12104.27"/>
    <n v="193668.32"/>
    <x v="4"/>
  </r>
  <r>
    <x v="147"/>
    <x v="5"/>
    <s v="Food"/>
    <x v="1"/>
    <x v="1"/>
    <n v="10"/>
    <n v="1351.06"/>
    <n v="13510.6"/>
    <x v="1"/>
  </r>
  <r>
    <x v="230"/>
    <x v="6"/>
    <s v="Beverage"/>
    <x v="1"/>
    <x v="1"/>
    <n v="6"/>
    <n v="15162.71"/>
    <n v="90976.26"/>
    <x v="1"/>
  </r>
  <r>
    <x v="100"/>
    <x v="7"/>
    <s v="Food"/>
    <x v="0"/>
    <x v="3"/>
    <n v="3"/>
    <n v="766.24"/>
    <n v="2298.7199999999998"/>
    <x v="6"/>
  </r>
  <r>
    <x v="54"/>
    <x v="8"/>
    <s v="Food"/>
    <x v="2"/>
    <x v="3"/>
    <n v="5"/>
    <n v="1123.6099999999999"/>
    <n v="5618.05"/>
    <x v="4"/>
  </r>
  <r>
    <x v="61"/>
    <x v="0"/>
    <s v="Beverage"/>
    <x v="0"/>
    <x v="3"/>
    <n v="3"/>
    <n v="1154.53"/>
    <n v="3463.59"/>
    <x v="4"/>
  </r>
  <r>
    <x v="120"/>
    <x v="0"/>
    <s v="Beverage"/>
    <x v="2"/>
    <x v="2"/>
    <n v="12"/>
    <n v="937.45"/>
    <n v="11249.4"/>
    <x v="0"/>
  </r>
  <r>
    <x v="164"/>
    <x v="0"/>
    <s v="Food"/>
    <x v="3"/>
    <x v="1"/>
    <n v="12"/>
    <n v="872.11"/>
    <n v="10465.32"/>
    <x v="3"/>
  </r>
  <r>
    <x v="136"/>
    <x v="5"/>
    <s v="Groceries"/>
    <x v="0"/>
    <x v="2"/>
    <n v="14"/>
    <n v="1274.5899999999999"/>
    <n v="17844.259999999998"/>
    <x v="4"/>
  </r>
  <r>
    <x v="231"/>
    <x v="9"/>
    <s v="Groceries"/>
    <x v="1"/>
    <x v="4"/>
    <n v="13"/>
    <n v="3013.09"/>
    <n v="39170.17"/>
    <x v="2"/>
  </r>
  <r>
    <x v="108"/>
    <x v="0"/>
    <s v="Groceries"/>
    <x v="3"/>
    <x v="3"/>
    <n v="11"/>
    <n v="940.26"/>
    <n v="10342.86"/>
    <x v="2"/>
  </r>
  <r>
    <x v="62"/>
    <x v="3"/>
    <s v="Food"/>
    <x v="0"/>
    <x v="3"/>
    <n v="11"/>
    <n v="3195.09"/>
    <n v="35145.99"/>
    <x v="2"/>
  </r>
  <r>
    <x v="211"/>
    <x v="5"/>
    <s v="Food"/>
    <x v="1"/>
    <x v="3"/>
    <n v="12"/>
    <n v="1758.94"/>
    <n v="21107.279999999999"/>
    <x v="3"/>
  </r>
  <r>
    <x v="209"/>
    <x v="4"/>
    <s v="Food"/>
    <x v="1"/>
    <x v="1"/>
    <n v="18"/>
    <n v="3934.9"/>
    <n v="70828.2"/>
    <x v="1"/>
  </r>
  <r>
    <x v="232"/>
    <x v="1"/>
    <s v="Food"/>
    <x v="3"/>
    <x v="4"/>
    <n v="19"/>
    <n v="796.7"/>
    <n v="15137.3"/>
    <x v="3"/>
  </r>
  <r>
    <x v="139"/>
    <x v="4"/>
    <s v="Food"/>
    <x v="2"/>
    <x v="4"/>
    <n v="18"/>
    <n v="5660.02"/>
    <n v="101880.36"/>
    <x v="0"/>
  </r>
  <r>
    <x v="233"/>
    <x v="9"/>
    <s v="Groceries"/>
    <x v="2"/>
    <x v="4"/>
    <n v="2"/>
    <n v="3298.35"/>
    <n v="6596.7"/>
    <x v="0"/>
  </r>
  <r>
    <x v="234"/>
    <x v="4"/>
    <s v="Groceries"/>
    <x v="1"/>
    <x v="4"/>
    <n v="17"/>
    <n v="5338.7"/>
    <n v="90757.9"/>
    <x v="6"/>
  </r>
  <r>
    <x v="147"/>
    <x v="3"/>
    <s v="Food"/>
    <x v="1"/>
    <x v="1"/>
    <n v="5"/>
    <n v="3168.55"/>
    <n v="15842.75"/>
    <x v="1"/>
  </r>
  <r>
    <x v="235"/>
    <x v="4"/>
    <s v="Beverage"/>
    <x v="1"/>
    <x v="3"/>
    <n v="16"/>
    <n v="4735.3"/>
    <n v="75764.800000000003"/>
    <x v="2"/>
  </r>
  <r>
    <x v="236"/>
    <x v="5"/>
    <s v="Beverage"/>
    <x v="3"/>
    <x v="2"/>
    <n v="10"/>
    <n v="1930.26"/>
    <n v="19302.599999999999"/>
    <x v="4"/>
  </r>
  <r>
    <x v="182"/>
    <x v="6"/>
    <s v="Groceries"/>
    <x v="2"/>
    <x v="2"/>
    <n v="4"/>
    <n v="17310.759999999998"/>
    <n v="69243.039999999994"/>
    <x v="0"/>
  </r>
  <r>
    <x v="15"/>
    <x v="2"/>
    <s v="Food"/>
    <x v="0"/>
    <x v="2"/>
    <n v="14"/>
    <n v="505.97"/>
    <n v="7083.58"/>
    <x v="5"/>
  </r>
  <r>
    <x v="237"/>
    <x v="1"/>
    <s v="Beverage"/>
    <x v="2"/>
    <x v="3"/>
    <n v="3"/>
    <n v="1120.98"/>
    <n v="3362.94"/>
    <x v="2"/>
  </r>
  <r>
    <x v="114"/>
    <x v="1"/>
    <s v="Groceries"/>
    <x v="1"/>
    <x v="2"/>
    <n v="18"/>
    <n v="680.44"/>
    <n v="12247.92"/>
    <x v="4"/>
  </r>
  <r>
    <x v="85"/>
    <x v="7"/>
    <s v="Groceries"/>
    <x v="3"/>
    <x v="2"/>
    <n v="10"/>
    <n v="605.14"/>
    <n v="6051.4"/>
    <x v="6"/>
  </r>
  <r>
    <x v="238"/>
    <x v="0"/>
    <s v="Food"/>
    <x v="2"/>
    <x v="4"/>
    <n v="15"/>
    <n v="981.01"/>
    <n v="14715.15"/>
    <x v="3"/>
  </r>
  <r>
    <x v="101"/>
    <x v="2"/>
    <s v="Beverage"/>
    <x v="1"/>
    <x v="2"/>
    <n v="6"/>
    <n v="705.57"/>
    <n v="4233.42"/>
    <x v="2"/>
  </r>
  <r>
    <x v="205"/>
    <x v="7"/>
    <s v="Food"/>
    <x v="0"/>
    <x v="0"/>
    <n v="18"/>
    <n v="641.04999999999995"/>
    <n v="11538.9"/>
    <x v="5"/>
  </r>
  <r>
    <x v="75"/>
    <x v="6"/>
    <s v="Groceries"/>
    <x v="3"/>
    <x v="1"/>
    <n v="16"/>
    <n v="11868.94"/>
    <n v="189903.04"/>
    <x v="3"/>
  </r>
  <r>
    <x v="239"/>
    <x v="9"/>
    <s v="Beverage"/>
    <x v="1"/>
    <x v="0"/>
    <n v="9"/>
    <n v="4137.57"/>
    <n v="37238.129999999997"/>
    <x v="6"/>
  </r>
  <r>
    <x v="60"/>
    <x v="5"/>
    <s v="Food"/>
    <x v="0"/>
    <x v="1"/>
    <n v="13"/>
    <n v="1340.71"/>
    <n v="17429.23"/>
    <x v="6"/>
  </r>
  <r>
    <x v="194"/>
    <x v="1"/>
    <s v="Groceries"/>
    <x v="0"/>
    <x v="0"/>
    <n v="5"/>
    <n v="932.27"/>
    <n v="4661.3500000000004"/>
    <x v="5"/>
  </r>
  <r>
    <x v="162"/>
    <x v="0"/>
    <s v="Food"/>
    <x v="3"/>
    <x v="3"/>
    <n v="5"/>
    <n v="1540.89"/>
    <n v="7704.45"/>
    <x v="3"/>
  </r>
  <r>
    <x v="240"/>
    <x v="0"/>
    <s v="Beverage"/>
    <x v="1"/>
    <x v="0"/>
    <n v="12"/>
    <n v="1551.41"/>
    <n v="18616.919999999998"/>
    <x v="4"/>
  </r>
  <r>
    <x v="183"/>
    <x v="4"/>
    <s v="Food"/>
    <x v="3"/>
    <x v="3"/>
    <n v="3"/>
    <n v="6139.47"/>
    <n v="18418.41"/>
    <x v="2"/>
  </r>
  <r>
    <x v="125"/>
    <x v="1"/>
    <s v="Food"/>
    <x v="3"/>
    <x v="3"/>
    <n v="1"/>
    <n v="759.53"/>
    <n v="759.53"/>
    <x v="4"/>
  </r>
  <r>
    <x v="210"/>
    <x v="3"/>
    <s v="Food"/>
    <x v="0"/>
    <x v="3"/>
    <n v="11"/>
    <n v="2726.72"/>
    <n v="29993.919999999998"/>
    <x v="0"/>
  </r>
  <r>
    <x v="149"/>
    <x v="9"/>
    <s v="Food"/>
    <x v="2"/>
    <x v="2"/>
    <n v="11"/>
    <n v="4221.8500000000004"/>
    <n v="46440.35"/>
    <x v="6"/>
  </r>
  <r>
    <x v="122"/>
    <x v="7"/>
    <s v="Food"/>
    <x v="3"/>
    <x v="1"/>
    <n v="16"/>
    <n v="611.04"/>
    <n v="9776.64"/>
    <x v="5"/>
  </r>
  <r>
    <x v="241"/>
    <x v="5"/>
    <s v="Beverage"/>
    <x v="2"/>
    <x v="2"/>
    <n v="1"/>
    <n v="1803.34"/>
    <n v="1803.34"/>
    <x v="3"/>
  </r>
  <r>
    <x v="217"/>
    <x v="7"/>
    <s v="Beverage"/>
    <x v="2"/>
    <x v="1"/>
    <n v="3"/>
    <n v="926.31"/>
    <n v="2778.93"/>
    <x v="2"/>
  </r>
  <r>
    <x v="60"/>
    <x v="0"/>
    <s v="Beverage"/>
    <x v="3"/>
    <x v="2"/>
    <n v="17"/>
    <n v="1391.57"/>
    <n v="23656.69"/>
    <x v="6"/>
  </r>
  <r>
    <x v="242"/>
    <x v="3"/>
    <s v="Groceries"/>
    <x v="2"/>
    <x v="0"/>
    <n v="2"/>
    <n v="2420.58"/>
    <n v="4841.16"/>
    <x v="0"/>
  </r>
  <r>
    <x v="161"/>
    <x v="0"/>
    <s v="Food"/>
    <x v="3"/>
    <x v="0"/>
    <n v="19"/>
    <n v="1543.3"/>
    <n v="29322.7"/>
    <x v="3"/>
  </r>
  <r>
    <x v="243"/>
    <x v="0"/>
    <s v="Food"/>
    <x v="2"/>
    <x v="3"/>
    <n v="6"/>
    <n v="1041.6300000000001"/>
    <n v="6249.78"/>
    <x v="0"/>
  </r>
  <r>
    <x v="244"/>
    <x v="7"/>
    <s v="Groceries"/>
    <x v="1"/>
    <x v="0"/>
    <n v="9"/>
    <n v="962.94"/>
    <n v="8666.4599999999991"/>
    <x v="4"/>
  </r>
  <r>
    <x v="245"/>
    <x v="5"/>
    <s v="Beverage"/>
    <x v="0"/>
    <x v="4"/>
    <n v="19"/>
    <n v="1835.48"/>
    <n v="34874.120000000003"/>
    <x v="0"/>
  </r>
  <r>
    <x v="168"/>
    <x v="9"/>
    <s v="Food"/>
    <x v="2"/>
    <x v="2"/>
    <n v="8"/>
    <n v="3002.96"/>
    <n v="24023.68"/>
    <x v="6"/>
  </r>
  <r>
    <x v="240"/>
    <x v="6"/>
    <s v="Food"/>
    <x v="1"/>
    <x v="0"/>
    <n v="3"/>
    <n v="12537.16"/>
    <n v="37611.480000000003"/>
    <x v="4"/>
  </r>
  <r>
    <x v="243"/>
    <x v="4"/>
    <s v="Groceries"/>
    <x v="3"/>
    <x v="2"/>
    <n v="8"/>
    <n v="6131.79"/>
    <n v="49054.32"/>
    <x v="0"/>
  </r>
  <r>
    <x v="236"/>
    <x v="9"/>
    <s v="Food"/>
    <x v="3"/>
    <x v="1"/>
    <n v="17"/>
    <n v="3049.11"/>
    <n v="51834.87"/>
    <x v="4"/>
  </r>
  <r>
    <x v="14"/>
    <x v="7"/>
    <s v="Groceries"/>
    <x v="3"/>
    <x v="3"/>
    <n v="5"/>
    <n v="681.11"/>
    <n v="3405.55"/>
    <x v="1"/>
  </r>
  <r>
    <x v="246"/>
    <x v="7"/>
    <s v="Food"/>
    <x v="2"/>
    <x v="1"/>
    <n v="9"/>
    <n v="996.62"/>
    <n v="8969.58"/>
    <x v="2"/>
  </r>
  <r>
    <x v="26"/>
    <x v="7"/>
    <s v="Food"/>
    <x v="1"/>
    <x v="4"/>
    <n v="8"/>
    <n v="808.37"/>
    <n v="6466.96"/>
    <x v="1"/>
  </r>
  <r>
    <x v="247"/>
    <x v="9"/>
    <s v="Beverage"/>
    <x v="0"/>
    <x v="4"/>
    <n v="19"/>
    <n v="4324.3"/>
    <n v="82161.7"/>
    <x v="3"/>
  </r>
  <r>
    <x v="248"/>
    <x v="9"/>
    <s v="Food"/>
    <x v="0"/>
    <x v="2"/>
    <n v="19"/>
    <n v="2948.61"/>
    <n v="56023.59"/>
    <x v="1"/>
  </r>
  <r>
    <x v="76"/>
    <x v="0"/>
    <s v="Beverage"/>
    <x v="3"/>
    <x v="1"/>
    <n v="3"/>
    <n v="1309.5999999999999"/>
    <n v="3928.8"/>
    <x v="0"/>
  </r>
  <r>
    <x v="126"/>
    <x v="2"/>
    <s v="Beverage"/>
    <x v="0"/>
    <x v="4"/>
    <n v="1"/>
    <n v="516.83000000000004"/>
    <n v="516.83000000000004"/>
    <x v="0"/>
  </r>
  <r>
    <x v="156"/>
    <x v="9"/>
    <s v="Food"/>
    <x v="1"/>
    <x v="4"/>
    <n v="12"/>
    <n v="3718.55"/>
    <n v="44622.6"/>
    <x v="3"/>
  </r>
  <r>
    <x v="21"/>
    <x v="2"/>
    <s v="Groceries"/>
    <x v="3"/>
    <x v="3"/>
    <n v="1"/>
    <n v="582.16999999999996"/>
    <n v="582.16999999999996"/>
    <x v="3"/>
  </r>
  <r>
    <x v="70"/>
    <x v="6"/>
    <s v="Groceries"/>
    <x v="3"/>
    <x v="0"/>
    <n v="16"/>
    <n v="13026.15"/>
    <n v="208418.4"/>
    <x v="5"/>
  </r>
  <r>
    <x v="249"/>
    <x v="6"/>
    <s v="Food"/>
    <x v="2"/>
    <x v="4"/>
    <n v="14"/>
    <n v="10945.47"/>
    <n v="153236.57999999999"/>
    <x v="5"/>
  </r>
  <r>
    <x v="72"/>
    <x v="0"/>
    <s v="Food"/>
    <x v="1"/>
    <x v="1"/>
    <n v="17"/>
    <n v="997.33"/>
    <n v="16954.61"/>
    <x v="3"/>
  </r>
  <r>
    <x v="250"/>
    <x v="9"/>
    <s v="Beverage"/>
    <x v="2"/>
    <x v="4"/>
    <n v="5"/>
    <n v="3047.58"/>
    <n v="15237.9"/>
    <x v="6"/>
  </r>
  <r>
    <x v="251"/>
    <x v="2"/>
    <s v="Food"/>
    <x v="0"/>
    <x v="0"/>
    <n v="7"/>
    <n v="626.91999999999996"/>
    <n v="4388.4399999999996"/>
    <x v="3"/>
  </r>
  <r>
    <x v="30"/>
    <x v="7"/>
    <s v="Groceries"/>
    <x v="2"/>
    <x v="1"/>
    <n v="1"/>
    <n v="747.14"/>
    <n v="747.14"/>
    <x v="5"/>
  </r>
  <r>
    <x v="204"/>
    <x v="2"/>
    <s v="Food"/>
    <x v="2"/>
    <x v="1"/>
    <n v="12"/>
    <n v="662.86"/>
    <n v="7954.32"/>
    <x v="0"/>
  </r>
  <r>
    <x v="252"/>
    <x v="1"/>
    <s v="Groceries"/>
    <x v="3"/>
    <x v="3"/>
    <n v="5"/>
    <n v="630.85"/>
    <n v="3154.25"/>
    <x v="2"/>
  </r>
  <r>
    <x v="122"/>
    <x v="5"/>
    <s v="Beverage"/>
    <x v="2"/>
    <x v="4"/>
    <n v="15"/>
    <n v="1834.44"/>
    <n v="27516.6"/>
    <x v="5"/>
  </r>
  <r>
    <x v="253"/>
    <x v="3"/>
    <s v="Beverage"/>
    <x v="2"/>
    <x v="2"/>
    <n v="18"/>
    <n v="1888.43"/>
    <n v="33991.74"/>
    <x v="4"/>
  </r>
  <r>
    <x v="98"/>
    <x v="2"/>
    <s v="Food"/>
    <x v="2"/>
    <x v="2"/>
    <n v="19"/>
    <n v="547.72"/>
    <n v="10406.68"/>
    <x v="6"/>
  </r>
  <r>
    <x v="221"/>
    <x v="4"/>
    <s v="Beverage"/>
    <x v="1"/>
    <x v="0"/>
    <n v="11"/>
    <n v="5296.08"/>
    <n v="58256.88"/>
    <x v="4"/>
  </r>
  <r>
    <x v="254"/>
    <x v="7"/>
    <s v="Beverage"/>
    <x v="2"/>
    <x v="4"/>
    <n v="7"/>
    <n v="979.38"/>
    <n v="6855.66"/>
    <x v="2"/>
  </r>
  <r>
    <x v="66"/>
    <x v="9"/>
    <s v="Groceries"/>
    <x v="2"/>
    <x v="3"/>
    <n v="6"/>
    <n v="4190.9399999999996"/>
    <n v="25145.64"/>
    <x v="2"/>
  </r>
  <r>
    <x v="104"/>
    <x v="2"/>
    <s v="Beverage"/>
    <x v="2"/>
    <x v="4"/>
    <n v="12"/>
    <n v="526.21"/>
    <n v="6314.52"/>
    <x v="2"/>
  </r>
  <r>
    <x v="213"/>
    <x v="5"/>
    <s v="Food"/>
    <x v="0"/>
    <x v="3"/>
    <n v="5"/>
    <n v="1160.7"/>
    <n v="5803.5"/>
    <x v="4"/>
  </r>
  <r>
    <x v="220"/>
    <x v="4"/>
    <s v="Groceries"/>
    <x v="3"/>
    <x v="4"/>
    <n v="6"/>
    <n v="6036.81"/>
    <n v="36220.86"/>
    <x v="2"/>
  </r>
  <r>
    <x v="230"/>
    <x v="3"/>
    <s v="Groceries"/>
    <x v="2"/>
    <x v="4"/>
    <n v="6"/>
    <n v="2933.48"/>
    <n v="17600.88"/>
    <x v="1"/>
  </r>
  <r>
    <x v="133"/>
    <x v="3"/>
    <s v="Groceries"/>
    <x v="0"/>
    <x v="2"/>
    <n v="12"/>
    <n v="3124.95"/>
    <n v="37499.4"/>
    <x v="4"/>
  </r>
  <r>
    <x v="12"/>
    <x v="5"/>
    <s v="Groceries"/>
    <x v="3"/>
    <x v="3"/>
    <n v="4"/>
    <n v="1403.68"/>
    <n v="5614.72"/>
    <x v="2"/>
  </r>
  <r>
    <x v="5"/>
    <x v="3"/>
    <s v="Food"/>
    <x v="0"/>
    <x v="2"/>
    <n v="5"/>
    <n v="3085.15"/>
    <n v="15425.75"/>
    <x v="4"/>
  </r>
  <r>
    <x v="255"/>
    <x v="0"/>
    <s v="Groceries"/>
    <x v="2"/>
    <x v="3"/>
    <n v="18"/>
    <n v="1298.57"/>
    <n v="23374.26"/>
    <x v="5"/>
  </r>
  <r>
    <x v="25"/>
    <x v="6"/>
    <s v="Food"/>
    <x v="1"/>
    <x v="1"/>
    <n v="8"/>
    <n v="13781.34"/>
    <n v="110250.72"/>
    <x v="2"/>
  </r>
  <r>
    <x v="228"/>
    <x v="2"/>
    <s v="Beverage"/>
    <x v="2"/>
    <x v="2"/>
    <n v="17"/>
    <n v="470.6"/>
    <n v="8000.2"/>
    <x v="5"/>
  </r>
  <r>
    <x v="256"/>
    <x v="2"/>
    <s v="Groceries"/>
    <x v="0"/>
    <x v="0"/>
    <n v="13"/>
    <n v="558.30999999999995"/>
    <n v="7258.03"/>
    <x v="3"/>
  </r>
  <r>
    <x v="163"/>
    <x v="9"/>
    <s v="Groceries"/>
    <x v="3"/>
    <x v="0"/>
    <n v="10"/>
    <n v="3280.41"/>
    <n v="32804.1"/>
    <x v="6"/>
  </r>
  <r>
    <x v="156"/>
    <x v="8"/>
    <s v="Beverage"/>
    <x v="1"/>
    <x v="1"/>
    <n v="5"/>
    <n v="1273.55"/>
    <n v="6367.75"/>
    <x v="3"/>
  </r>
  <r>
    <x v="246"/>
    <x v="7"/>
    <s v="Groceries"/>
    <x v="1"/>
    <x v="2"/>
    <n v="18"/>
    <n v="956.82"/>
    <n v="17222.759999999998"/>
    <x v="2"/>
  </r>
  <r>
    <x v="170"/>
    <x v="0"/>
    <s v="Food"/>
    <x v="2"/>
    <x v="2"/>
    <n v="5"/>
    <n v="950.98"/>
    <n v="4754.8999999999996"/>
    <x v="0"/>
  </r>
  <r>
    <x v="79"/>
    <x v="3"/>
    <s v="Food"/>
    <x v="1"/>
    <x v="1"/>
    <n v="19"/>
    <n v="2284.2800000000002"/>
    <n v="43401.32"/>
    <x v="5"/>
  </r>
  <r>
    <x v="257"/>
    <x v="7"/>
    <s v="Beverage"/>
    <x v="2"/>
    <x v="1"/>
    <n v="14"/>
    <n v="885.15"/>
    <n v="12392.1"/>
    <x v="5"/>
  </r>
  <r>
    <x v="197"/>
    <x v="5"/>
    <s v="Groceries"/>
    <x v="2"/>
    <x v="2"/>
    <n v="3"/>
    <n v="1185.47"/>
    <n v="3556.41"/>
    <x v="2"/>
  </r>
  <r>
    <x v="257"/>
    <x v="0"/>
    <s v="Groceries"/>
    <x v="2"/>
    <x v="4"/>
    <n v="3"/>
    <n v="1473.83"/>
    <n v="4421.49"/>
    <x v="5"/>
  </r>
  <r>
    <x v="258"/>
    <x v="9"/>
    <s v="Food"/>
    <x v="3"/>
    <x v="3"/>
    <n v="19"/>
    <n v="2872.76"/>
    <n v="54582.44"/>
    <x v="4"/>
  </r>
  <r>
    <x v="139"/>
    <x v="2"/>
    <s v="Food"/>
    <x v="2"/>
    <x v="1"/>
    <n v="4"/>
    <n v="746.5"/>
    <n v="2986"/>
    <x v="0"/>
  </r>
  <r>
    <x v="174"/>
    <x v="8"/>
    <s v="Beverage"/>
    <x v="0"/>
    <x v="1"/>
    <n v="15"/>
    <n v="1221.98"/>
    <n v="18329.7"/>
    <x v="6"/>
  </r>
  <r>
    <x v="259"/>
    <x v="9"/>
    <s v="Groceries"/>
    <x v="0"/>
    <x v="2"/>
    <n v="5"/>
    <n v="4117.84"/>
    <n v="20589.2"/>
    <x v="1"/>
  </r>
  <r>
    <x v="190"/>
    <x v="4"/>
    <s v="Beverage"/>
    <x v="1"/>
    <x v="2"/>
    <n v="6"/>
    <n v="3946.39"/>
    <n v="23678.34"/>
    <x v="4"/>
  </r>
  <r>
    <x v="29"/>
    <x v="1"/>
    <s v="Beverage"/>
    <x v="0"/>
    <x v="3"/>
    <n v="4"/>
    <n v="784.32"/>
    <n v="3137.28"/>
    <x v="2"/>
  </r>
  <r>
    <x v="260"/>
    <x v="5"/>
    <s v="Groceries"/>
    <x v="0"/>
    <x v="0"/>
    <n v="19"/>
    <n v="1569.55"/>
    <n v="29821.45"/>
    <x v="4"/>
  </r>
  <r>
    <x v="113"/>
    <x v="8"/>
    <s v="Beverage"/>
    <x v="0"/>
    <x v="3"/>
    <n v="19"/>
    <n v="1061.27"/>
    <n v="20164.13"/>
    <x v="5"/>
  </r>
  <r>
    <x v="98"/>
    <x v="0"/>
    <s v="Groceries"/>
    <x v="2"/>
    <x v="0"/>
    <n v="16"/>
    <n v="1557.21"/>
    <n v="24915.360000000001"/>
    <x v="6"/>
  </r>
  <r>
    <x v="180"/>
    <x v="0"/>
    <s v="Food"/>
    <x v="2"/>
    <x v="4"/>
    <n v="17"/>
    <n v="1054.8699999999999"/>
    <n v="17932.79"/>
    <x v="4"/>
  </r>
  <r>
    <x v="180"/>
    <x v="7"/>
    <s v="Groceries"/>
    <x v="1"/>
    <x v="0"/>
    <n v="5"/>
    <n v="805.01"/>
    <n v="4025.05"/>
    <x v="4"/>
  </r>
  <r>
    <x v="223"/>
    <x v="5"/>
    <s v="Beverage"/>
    <x v="3"/>
    <x v="1"/>
    <n v="11"/>
    <n v="1834.84"/>
    <n v="20183.240000000002"/>
    <x v="2"/>
  </r>
  <r>
    <x v="31"/>
    <x v="8"/>
    <s v="Beverage"/>
    <x v="2"/>
    <x v="0"/>
    <n v="15"/>
    <n v="1294.33"/>
    <n v="19414.95"/>
    <x v="5"/>
  </r>
  <r>
    <x v="48"/>
    <x v="1"/>
    <s v="Food"/>
    <x v="3"/>
    <x v="0"/>
    <n v="1"/>
    <n v="814.56"/>
    <n v="814.56"/>
    <x v="0"/>
  </r>
  <r>
    <x v="261"/>
    <x v="6"/>
    <s v="Groceries"/>
    <x v="2"/>
    <x v="1"/>
    <n v="8"/>
    <n v="18933.82"/>
    <n v="151470.56"/>
    <x v="1"/>
  </r>
  <r>
    <x v="133"/>
    <x v="4"/>
    <s v="Groceries"/>
    <x v="2"/>
    <x v="2"/>
    <n v="3"/>
    <n v="5340.81"/>
    <n v="16022.43"/>
    <x v="4"/>
  </r>
  <r>
    <x v="258"/>
    <x v="5"/>
    <s v="Food"/>
    <x v="1"/>
    <x v="2"/>
    <n v="6"/>
    <n v="1325.52"/>
    <n v="7953.12"/>
    <x v="4"/>
  </r>
  <r>
    <x v="262"/>
    <x v="7"/>
    <s v="Beverage"/>
    <x v="3"/>
    <x v="1"/>
    <n v="13"/>
    <n v="894.92"/>
    <n v="11633.96"/>
    <x v="1"/>
  </r>
  <r>
    <x v="263"/>
    <x v="7"/>
    <s v="Groceries"/>
    <x v="1"/>
    <x v="3"/>
    <n v="8"/>
    <n v="614.21"/>
    <n v="4913.68"/>
    <x v="3"/>
  </r>
  <r>
    <x v="128"/>
    <x v="1"/>
    <s v="Beverage"/>
    <x v="3"/>
    <x v="3"/>
    <n v="2"/>
    <n v="1013.46"/>
    <n v="2026.92"/>
    <x v="6"/>
  </r>
  <r>
    <x v="264"/>
    <x v="3"/>
    <s v="Groceries"/>
    <x v="0"/>
    <x v="0"/>
    <n v="7"/>
    <n v="2464.66"/>
    <n v="17252.62"/>
    <x v="1"/>
  </r>
  <r>
    <x v="213"/>
    <x v="6"/>
    <s v="Food"/>
    <x v="1"/>
    <x v="1"/>
    <n v="13"/>
    <n v="15931.44"/>
    <n v="207108.72"/>
    <x v="4"/>
  </r>
  <r>
    <x v="93"/>
    <x v="7"/>
    <s v="Food"/>
    <x v="2"/>
    <x v="4"/>
    <n v="10"/>
    <n v="841.22"/>
    <n v="8412.2000000000007"/>
    <x v="5"/>
  </r>
  <r>
    <x v="265"/>
    <x v="0"/>
    <s v="Beverage"/>
    <x v="1"/>
    <x v="3"/>
    <n v="14"/>
    <n v="1432.23"/>
    <n v="20051.22"/>
    <x v="0"/>
  </r>
  <r>
    <x v="91"/>
    <x v="9"/>
    <s v="Beverage"/>
    <x v="0"/>
    <x v="2"/>
    <n v="13"/>
    <n v="4375.26"/>
    <n v="56878.38"/>
    <x v="4"/>
  </r>
  <r>
    <x v="48"/>
    <x v="3"/>
    <s v="Groceries"/>
    <x v="0"/>
    <x v="3"/>
    <n v="18"/>
    <n v="2985.67"/>
    <n v="53742.06"/>
    <x v="0"/>
  </r>
  <r>
    <x v="45"/>
    <x v="4"/>
    <s v="Food"/>
    <x v="0"/>
    <x v="4"/>
    <n v="17"/>
    <n v="5033.3900000000003"/>
    <n v="85567.63"/>
    <x v="6"/>
  </r>
  <r>
    <x v="266"/>
    <x v="3"/>
    <s v="Beverage"/>
    <x v="1"/>
    <x v="4"/>
    <n v="18"/>
    <n v="2450.4499999999998"/>
    <n v="44108.1"/>
    <x v="2"/>
  </r>
  <r>
    <x v="256"/>
    <x v="4"/>
    <s v="Food"/>
    <x v="3"/>
    <x v="0"/>
    <n v="1"/>
    <n v="3889.79"/>
    <n v="3889.79"/>
    <x v="3"/>
  </r>
  <r>
    <x v="22"/>
    <x v="3"/>
    <s v="Beverage"/>
    <x v="0"/>
    <x v="0"/>
    <n v="13"/>
    <n v="2383.58"/>
    <n v="30986.54"/>
    <x v="5"/>
  </r>
  <r>
    <x v="147"/>
    <x v="2"/>
    <s v="Groceries"/>
    <x v="2"/>
    <x v="4"/>
    <n v="1"/>
    <n v="754.86"/>
    <n v="754.86"/>
    <x v="1"/>
  </r>
  <r>
    <x v="63"/>
    <x v="2"/>
    <s v="Groceries"/>
    <x v="1"/>
    <x v="1"/>
    <n v="11"/>
    <n v="659.9"/>
    <n v="7258.9"/>
    <x v="2"/>
  </r>
  <r>
    <x v="227"/>
    <x v="6"/>
    <s v="Groceries"/>
    <x v="2"/>
    <x v="4"/>
    <n v="19"/>
    <n v="16209.06"/>
    <n v="307972.14"/>
    <x v="3"/>
  </r>
  <r>
    <x v="152"/>
    <x v="1"/>
    <s v="Food"/>
    <x v="2"/>
    <x v="2"/>
    <n v="9"/>
    <n v="887.02"/>
    <n v="7983.18"/>
    <x v="4"/>
  </r>
  <r>
    <x v="253"/>
    <x v="7"/>
    <s v="Food"/>
    <x v="3"/>
    <x v="4"/>
    <n v="13"/>
    <n v="759.92"/>
    <n v="9878.9599999999991"/>
    <x v="4"/>
  </r>
  <r>
    <x v="1"/>
    <x v="3"/>
    <s v="Food"/>
    <x v="2"/>
    <x v="0"/>
    <n v="1"/>
    <n v="2944.36"/>
    <n v="2944.36"/>
    <x v="1"/>
  </r>
  <r>
    <x v="217"/>
    <x v="3"/>
    <s v="Food"/>
    <x v="3"/>
    <x v="2"/>
    <n v="18"/>
    <n v="2855.64"/>
    <n v="51401.52"/>
    <x v="2"/>
  </r>
  <r>
    <x v="50"/>
    <x v="8"/>
    <s v="Beverage"/>
    <x v="1"/>
    <x v="4"/>
    <n v="4"/>
    <n v="751.2"/>
    <n v="3004.8"/>
    <x v="5"/>
  </r>
  <r>
    <x v="267"/>
    <x v="7"/>
    <s v="Food"/>
    <x v="2"/>
    <x v="4"/>
    <n v="10"/>
    <n v="821.03"/>
    <n v="8210.2999999999993"/>
    <x v="5"/>
  </r>
  <r>
    <x v="82"/>
    <x v="8"/>
    <s v="Beverage"/>
    <x v="1"/>
    <x v="1"/>
    <n v="5"/>
    <n v="1246.6400000000001"/>
    <n v="6233.2"/>
    <x v="1"/>
  </r>
  <r>
    <x v="221"/>
    <x v="9"/>
    <s v="Food"/>
    <x v="3"/>
    <x v="3"/>
    <n v="3"/>
    <n v="3485.02"/>
    <n v="10455.06"/>
    <x v="4"/>
  </r>
  <r>
    <x v="94"/>
    <x v="9"/>
    <s v="Food"/>
    <x v="3"/>
    <x v="2"/>
    <n v="11"/>
    <n v="4293.0600000000004"/>
    <n v="47223.66"/>
    <x v="4"/>
  </r>
  <r>
    <x v="133"/>
    <x v="1"/>
    <s v="Beverage"/>
    <x v="2"/>
    <x v="2"/>
    <n v="16"/>
    <n v="1047.3800000000001"/>
    <n v="16758.080000000002"/>
    <x v="4"/>
  </r>
  <r>
    <x v="258"/>
    <x v="1"/>
    <s v="Groceries"/>
    <x v="1"/>
    <x v="1"/>
    <n v="10"/>
    <n v="1045.8900000000001"/>
    <n v="10458.9"/>
    <x v="4"/>
  </r>
  <r>
    <x v="268"/>
    <x v="4"/>
    <s v="Beverage"/>
    <x v="2"/>
    <x v="1"/>
    <n v="1"/>
    <n v="5717.08"/>
    <n v="5717.08"/>
    <x v="0"/>
  </r>
  <r>
    <x v="269"/>
    <x v="0"/>
    <s v="Food"/>
    <x v="1"/>
    <x v="2"/>
    <n v="16"/>
    <n v="1249.03"/>
    <n v="19984.48"/>
    <x v="2"/>
  </r>
  <r>
    <x v="37"/>
    <x v="0"/>
    <s v="Groceries"/>
    <x v="0"/>
    <x v="4"/>
    <n v="11"/>
    <n v="1437.43"/>
    <n v="15811.73"/>
    <x v="1"/>
  </r>
  <r>
    <x v="63"/>
    <x v="2"/>
    <s v="Food"/>
    <x v="1"/>
    <x v="0"/>
    <n v="4"/>
    <n v="743.8"/>
    <n v="2975.2"/>
    <x v="2"/>
  </r>
  <r>
    <x v="270"/>
    <x v="3"/>
    <s v="Beverage"/>
    <x v="3"/>
    <x v="1"/>
    <n v="15"/>
    <n v="1839.57"/>
    <n v="27593.55"/>
    <x v="3"/>
  </r>
  <r>
    <x v="117"/>
    <x v="0"/>
    <s v="Beverage"/>
    <x v="3"/>
    <x v="4"/>
    <n v="5"/>
    <n v="1222.1300000000001"/>
    <n v="6110.65"/>
    <x v="6"/>
  </r>
  <r>
    <x v="271"/>
    <x v="9"/>
    <s v="Food"/>
    <x v="2"/>
    <x v="0"/>
    <n v="12"/>
    <n v="3751.44"/>
    <n v="45017.279999999999"/>
    <x v="1"/>
  </r>
  <r>
    <x v="106"/>
    <x v="4"/>
    <s v="Beverage"/>
    <x v="0"/>
    <x v="1"/>
    <n v="19"/>
    <n v="3940.89"/>
    <n v="74876.91"/>
    <x v="0"/>
  </r>
  <r>
    <x v="142"/>
    <x v="2"/>
    <s v="Groceries"/>
    <x v="0"/>
    <x v="2"/>
    <n v="11"/>
    <n v="513.57000000000005"/>
    <n v="5649.27"/>
    <x v="4"/>
  </r>
  <r>
    <x v="220"/>
    <x v="0"/>
    <s v="Beverage"/>
    <x v="3"/>
    <x v="2"/>
    <n v="15"/>
    <n v="883.65"/>
    <n v="13254.75"/>
    <x v="2"/>
  </r>
  <r>
    <x v="173"/>
    <x v="3"/>
    <s v="Beverage"/>
    <x v="2"/>
    <x v="3"/>
    <n v="5"/>
    <n v="2495.9699999999998"/>
    <n v="12479.85"/>
    <x v="4"/>
  </r>
  <r>
    <x v="124"/>
    <x v="2"/>
    <s v="Beverage"/>
    <x v="2"/>
    <x v="3"/>
    <n v="6"/>
    <n v="610.67999999999995"/>
    <n v="3664.08"/>
    <x v="5"/>
  </r>
  <r>
    <x v="11"/>
    <x v="1"/>
    <s v="Food"/>
    <x v="1"/>
    <x v="1"/>
    <n v="6"/>
    <n v="778.34"/>
    <n v="4670.04"/>
    <x v="6"/>
  </r>
  <r>
    <x v="55"/>
    <x v="3"/>
    <s v="Beverage"/>
    <x v="1"/>
    <x v="1"/>
    <n v="3"/>
    <n v="1998.62"/>
    <n v="5995.86"/>
    <x v="1"/>
  </r>
  <r>
    <x v="248"/>
    <x v="2"/>
    <s v="Food"/>
    <x v="0"/>
    <x v="2"/>
    <n v="1"/>
    <n v="469.32"/>
    <n v="469.32"/>
    <x v="1"/>
  </r>
  <r>
    <x v="271"/>
    <x v="3"/>
    <s v="Groceries"/>
    <x v="0"/>
    <x v="2"/>
    <n v="12"/>
    <n v="3190.94"/>
    <n v="38291.279999999999"/>
    <x v="1"/>
  </r>
  <r>
    <x v="272"/>
    <x v="0"/>
    <s v="Groceries"/>
    <x v="3"/>
    <x v="0"/>
    <n v="12"/>
    <n v="1026.8699999999999"/>
    <n v="12322.44"/>
    <x v="4"/>
  </r>
  <r>
    <x v="273"/>
    <x v="3"/>
    <s v="Groceries"/>
    <x v="0"/>
    <x v="3"/>
    <n v="6"/>
    <n v="2035.16"/>
    <n v="12210.96"/>
    <x v="0"/>
  </r>
  <r>
    <x v="170"/>
    <x v="3"/>
    <s v="Food"/>
    <x v="0"/>
    <x v="0"/>
    <n v="16"/>
    <n v="3215.96"/>
    <n v="51455.360000000001"/>
    <x v="0"/>
  </r>
  <r>
    <x v="57"/>
    <x v="2"/>
    <s v="Food"/>
    <x v="1"/>
    <x v="2"/>
    <n v="15"/>
    <n v="503.53"/>
    <n v="7552.95"/>
    <x v="1"/>
  </r>
  <r>
    <x v="30"/>
    <x v="6"/>
    <s v="Groceries"/>
    <x v="3"/>
    <x v="3"/>
    <n v="12"/>
    <n v="10608.93"/>
    <n v="127307.16"/>
    <x v="5"/>
  </r>
  <r>
    <x v="274"/>
    <x v="0"/>
    <s v="Food"/>
    <x v="3"/>
    <x v="2"/>
    <n v="10"/>
    <n v="1419.42"/>
    <n v="14194.2"/>
    <x v="5"/>
  </r>
  <r>
    <x v="260"/>
    <x v="1"/>
    <s v="Beverage"/>
    <x v="0"/>
    <x v="0"/>
    <n v="5"/>
    <n v="762.74"/>
    <n v="3813.7"/>
    <x v="4"/>
  </r>
  <r>
    <x v="42"/>
    <x v="7"/>
    <s v="Food"/>
    <x v="2"/>
    <x v="3"/>
    <n v="4"/>
    <n v="698.66"/>
    <n v="2794.64"/>
    <x v="4"/>
  </r>
  <r>
    <x v="241"/>
    <x v="5"/>
    <s v="Groceries"/>
    <x v="1"/>
    <x v="0"/>
    <n v="1"/>
    <n v="1090.42"/>
    <n v="1090.42"/>
    <x v="3"/>
  </r>
  <r>
    <x v="248"/>
    <x v="5"/>
    <s v="Food"/>
    <x v="0"/>
    <x v="2"/>
    <n v="3"/>
    <n v="1101.93"/>
    <n v="3305.79"/>
    <x v="1"/>
  </r>
  <r>
    <x v="275"/>
    <x v="1"/>
    <s v="Beverage"/>
    <x v="2"/>
    <x v="3"/>
    <n v="13"/>
    <n v="765.54"/>
    <n v="9952.02"/>
    <x v="1"/>
  </r>
  <r>
    <x v="142"/>
    <x v="3"/>
    <s v="Food"/>
    <x v="1"/>
    <x v="4"/>
    <n v="13"/>
    <n v="3211.56"/>
    <n v="41750.28"/>
    <x v="4"/>
  </r>
  <r>
    <x v="217"/>
    <x v="1"/>
    <s v="Groceries"/>
    <x v="0"/>
    <x v="4"/>
    <n v="9"/>
    <n v="753.49"/>
    <n v="6781.41"/>
    <x v="2"/>
  </r>
  <r>
    <x v="255"/>
    <x v="6"/>
    <s v="Beverage"/>
    <x v="1"/>
    <x v="1"/>
    <n v="9"/>
    <n v="19054.13"/>
    <n v="171487.17"/>
    <x v="5"/>
  </r>
  <r>
    <x v="85"/>
    <x v="2"/>
    <s v="Groceries"/>
    <x v="2"/>
    <x v="0"/>
    <n v="12"/>
    <n v="693.16"/>
    <n v="8317.92"/>
    <x v="6"/>
  </r>
  <r>
    <x v="70"/>
    <x v="5"/>
    <s v="Groceries"/>
    <x v="0"/>
    <x v="3"/>
    <n v="8"/>
    <n v="1410.85"/>
    <n v="11286.8"/>
    <x v="5"/>
  </r>
  <r>
    <x v="73"/>
    <x v="5"/>
    <s v="Beverage"/>
    <x v="3"/>
    <x v="3"/>
    <n v="13"/>
    <n v="1582.02"/>
    <n v="20566.259999999998"/>
    <x v="4"/>
  </r>
  <r>
    <x v="186"/>
    <x v="7"/>
    <s v="Groceries"/>
    <x v="1"/>
    <x v="2"/>
    <n v="14"/>
    <n v="594.16"/>
    <n v="8318.24"/>
    <x v="4"/>
  </r>
  <r>
    <x v="26"/>
    <x v="1"/>
    <s v="Groceries"/>
    <x v="0"/>
    <x v="1"/>
    <n v="1"/>
    <n v="851.08"/>
    <n v="851.08"/>
    <x v="1"/>
  </r>
  <r>
    <x v="27"/>
    <x v="2"/>
    <s v="Groceries"/>
    <x v="2"/>
    <x v="2"/>
    <n v="2"/>
    <n v="698.61"/>
    <n v="1397.22"/>
    <x v="2"/>
  </r>
  <r>
    <x v="227"/>
    <x v="1"/>
    <s v="Groceries"/>
    <x v="1"/>
    <x v="4"/>
    <n v="17"/>
    <n v="921.11"/>
    <n v="15658.87"/>
    <x v="3"/>
  </r>
  <r>
    <x v="241"/>
    <x v="0"/>
    <s v="Groceries"/>
    <x v="2"/>
    <x v="1"/>
    <n v="9"/>
    <n v="840.01"/>
    <n v="7560.09"/>
    <x v="3"/>
  </r>
  <r>
    <x v="276"/>
    <x v="9"/>
    <s v="Beverage"/>
    <x v="2"/>
    <x v="4"/>
    <n v="10"/>
    <n v="2871.18"/>
    <n v="28711.8"/>
    <x v="5"/>
  </r>
  <r>
    <x v="0"/>
    <x v="9"/>
    <s v="Food"/>
    <x v="2"/>
    <x v="2"/>
    <n v="3"/>
    <n v="4303.74"/>
    <n v="12911.22"/>
    <x v="0"/>
  </r>
  <r>
    <x v="136"/>
    <x v="0"/>
    <s v="Beverage"/>
    <x v="0"/>
    <x v="2"/>
    <n v="15"/>
    <n v="1139.48"/>
    <n v="17092.2"/>
    <x v="4"/>
  </r>
  <r>
    <x v="217"/>
    <x v="1"/>
    <s v="Beverage"/>
    <x v="1"/>
    <x v="1"/>
    <n v="16"/>
    <n v="1071.06"/>
    <n v="17136.96"/>
    <x v="2"/>
  </r>
  <r>
    <x v="277"/>
    <x v="4"/>
    <s v="Beverage"/>
    <x v="3"/>
    <x v="0"/>
    <n v="15"/>
    <n v="5920.08"/>
    <n v="88801.2"/>
    <x v="3"/>
  </r>
  <r>
    <x v="30"/>
    <x v="2"/>
    <s v="Beverage"/>
    <x v="2"/>
    <x v="1"/>
    <n v="8"/>
    <n v="657.97"/>
    <n v="5263.76"/>
    <x v="5"/>
  </r>
  <r>
    <x v="3"/>
    <x v="5"/>
    <s v="Groceries"/>
    <x v="1"/>
    <x v="3"/>
    <n v="2"/>
    <n v="1752.57"/>
    <n v="3505.14"/>
    <x v="3"/>
  </r>
  <r>
    <x v="33"/>
    <x v="6"/>
    <s v="Groceries"/>
    <x v="3"/>
    <x v="3"/>
    <n v="17"/>
    <n v="15913.98"/>
    <n v="270537.65999999997"/>
    <x v="1"/>
  </r>
  <r>
    <x v="94"/>
    <x v="4"/>
    <s v="Groceries"/>
    <x v="2"/>
    <x v="1"/>
    <n v="6"/>
    <n v="5842.2"/>
    <n v="35053.199999999997"/>
    <x v="4"/>
  </r>
  <r>
    <x v="8"/>
    <x v="4"/>
    <s v="Groceries"/>
    <x v="3"/>
    <x v="4"/>
    <n v="9"/>
    <n v="4846.4399999999996"/>
    <n v="43617.96"/>
    <x v="1"/>
  </r>
  <r>
    <x v="126"/>
    <x v="2"/>
    <s v="Groceries"/>
    <x v="3"/>
    <x v="0"/>
    <n v="6"/>
    <n v="751.56"/>
    <n v="4509.3599999999997"/>
    <x v="0"/>
  </r>
  <r>
    <x v="5"/>
    <x v="4"/>
    <s v="Food"/>
    <x v="1"/>
    <x v="0"/>
    <n v="9"/>
    <n v="4085.72"/>
    <n v="36771.480000000003"/>
    <x v="4"/>
  </r>
  <r>
    <x v="278"/>
    <x v="9"/>
    <s v="Beverage"/>
    <x v="3"/>
    <x v="2"/>
    <n v="3"/>
    <n v="2699.64"/>
    <n v="8098.92"/>
    <x v="6"/>
  </r>
  <r>
    <x v="220"/>
    <x v="5"/>
    <s v="Food"/>
    <x v="2"/>
    <x v="0"/>
    <n v="15"/>
    <n v="1506.01"/>
    <n v="22590.15"/>
    <x v="2"/>
  </r>
  <r>
    <x v="279"/>
    <x v="0"/>
    <s v="Beverage"/>
    <x v="2"/>
    <x v="0"/>
    <n v="11"/>
    <n v="1444.08"/>
    <n v="15884.88"/>
    <x v="1"/>
  </r>
  <r>
    <x v="97"/>
    <x v="1"/>
    <s v="Food"/>
    <x v="1"/>
    <x v="3"/>
    <n v="4"/>
    <n v="931.85"/>
    <n v="3727.4"/>
    <x v="6"/>
  </r>
  <r>
    <x v="195"/>
    <x v="9"/>
    <s v="Food"/>
    <x v="2"/>
    <x v="4"/>
    <n v="8"/>
    <n v="2558.5"/>
    <n v="20468"/>
    <x v="3"/>
  </r>
  <r>
    <x v="255"/>
    <x v="8"/>
    <s v="Groceries"/>
    <x v="3"/>
    <x v="1"/>
    <n v="16"/>
    <n v="1180"/>
    <n v="18880"/>
    <x v="5"/>
  </r>
  <r>
    <x v="29"/>
    <x v="1"/>
    <s v="Food"/>
    <x v="3"/>
    <x v="2"/>
    <n v="12"/>
    <n v="786.62"/>
    <n v="9439.44"/>
    <x v="2"/>
  </r>
  <r>
    <x v="38"/>
    <x v="7"/>
    <s v="Food"/>
    <x v="2"/>
    <x v="0"/>
    <n v="18"/>
    <n v="959.76"/>
    <n v="17275.68"/>
    <x v="6"/>
  </r>
  <r>
    <x v="244"/>
    <x v="7"/>
    <s v="Beverage"/>
    <x v="3"/>
    <x v="2"/>
    <n v="1"/>
    <n v="823.45"/>
    <n v="823.45"/>
    <x v="4"/>
  </r>
  <r>
    <x v="25"/>
    <x v="8"/>
    <s v="Groceries"/>
    <x v="2"/>
    <x v="0"/>
    <n v="12"/>
    <n v="1072.78"/>
    <n v="12873.36"/>
    <x v="2"/>
  </r>
  <r>
    <x v="114"/>
    <x v="8"/>
    <s v="Food"/>
    <x v="3"/>
    <x v="1"/>
    <n v="1"/>
    <n v="871.45"/>
    <n v="871.45"/>
    <x v="4"/>
  </r>
  <r>
    <x v="204"/>
    <x v="9"/>
    <s v="Food"/>
    <x v="0"/>
    <x v="3"/>
    <n v="15"/>
    <n v="3251.03"/>
    <n v="48765.45"/>
    <x v="0"/>
  </r>
  <r>
    <x v="83"/>
    <x v="0"/>
    <s v="Beverage"/>
    <x v="0"/>
    <x v="0"/>
    <n v="18"/>
    <n v="1517.72"/>
    <n v="27318.959999999999"/>
    <x v="1"/>
  </r>
  <r>
    <x v="124"/>
    <x v="4"/>
    <s v="Beverage"/>
    <x v="1"/>
    <x v="1"/>
    <n v="10"/>
    <n v="4038.09"/>
    <n v="40380.9"/>
    <x v="5"/>
  </r>
  <r>
    <x v="280"/>
    <x v="1"/>
    <s v="Food"/>
    <x v="3"/>
    <x v="4"/>
    <n v="5"/>
    <n v="732.5"/>
    <n v="3662.5"/>
    <x v="4"/>
  </r>
  <r>
    <x v="167"/>
    <x v="6"/>
    <s v="Groceries"/>
    <x v="0"/>
    <x v="0"/>
    <n v="10"/>
    <n v="15151.11"/>
    <n v="151511.1"/>
    <x v="1"/>
  </r>
  <r>
    <x v="130"/>
    <x v="3"/>
    <s v="Beverage"/>
    <x v="1"/>
    <x v="3"/>
    <n v="11"/>
    <n v="2643.04"/>
    <n v="29073.439999999999"/>
    <x v="5"/>
  </r>
  <r>
    <x v="167"/>
    <x v="9"/>
    <s v="Groceries"/>
    <x v="2"/>
    <x v="2"/>
    <n v="12"/>
    <n v="3411.85"/>
    <n v="40942.199999999997"/>
    <x v="1"/>
  </r>
  <r>
    <x v="281"/>
    <x v="8"/>
    <s v="Beverage"/>
    <x v="1"/>
    <x v="0"/>
    <n v="6"/>
    <n v="850.54"/>
    <n v="5103.24"/>
    <x v="2"/>
  </r>
  <r>
    <x v="214"/>
    <x v="4"/>
    <s v="Food"/>
    <x v="3"/>
    <x v="4"/>
    <n v="4"/>
    <n v="4248.57"/>
    <n v="16994.28"/>
    <x v="2"/>
  </r>
  <r>
    <x v="221"/>
    <x v="0"/>
    <s v="Food"/>
    <x v="0"/>
    <x v="3"/>
    <n v="10"/>
    <n v="1280.83"/>
    <n v="12808.3"/>
    <x v="4"/>
  </r>
  <r>
    <x v="23"/>
    <x v="9"/>
    <s v="Groceries"/>
    <x v="3"/>
    <x v="1"/>
    <n v="4"/>
    <n v="3922.39"/>
    <n v="15689.56"/>
    <x v="2"/>
  </r>
  <r>
    <x v="69"/>
    <x v="6"/>
    <s v="Food"/>
    <x v="2"/>
    <x v="2"/>
    <n v="7"/>
    <n v="12777.91"/>
    <n v="89445.37"/>
    <x v="5"/>
  </r>
  <r>
    <x v="81"/>
    <x v="7"/>
    <s v="Food"/>
    <x v="1"/>
    <x v="2"/>
    <n v="9"/>
    <n v="963.1"/>
    <n v="8667.9"/>
    <x v="3"/>
  </r>
  <r>
    <x v="250"/>
    <x v="9"/>
    <s v="Beverage"/>
    <x v="2"/>
    <x v="3"/>
    <n v="18"/>
    <n v="4009.93"/>
    <n v="72178.740000000005"/>
    <x v="6"/>
  </r>
  <r>
    <x v="282"/>
    <x v="7"/>
    <s v="Groceries"/>
    <x v="2"/>
    <x v="4"/>
    <n v="15"/>
    <n v="684.18"/>
    <n v="10262.700000000001"/>
    <x v="3"/>
  </r>
  <r>
    <x v="248"/>
    <x v="4"/>
    <s v="Groceries"/>
    <x v="1"/>
    <x v="0"/>
    <n v="17"/>
    <n v="5140.63"/>
    <n v="87390.71"/>
    <x v="1"/>
  </r>
  <r>
    <x v="186"/>
    <x v="1"/>
    <s v="Beverage"/>
    <x v="3"/>
    <x v="1"/>
    <n v="8"/>
    <n v="983.16"/>
    <n v="7865.28"/>
    <x v="4"/>
  </r>
  <r>
    <x v="151"/>
    <x v="5"/>
    <s v="Groceries"/>
    <x v="3"/>
    <x v="2"/>
    <n v="15"/>
    <n v="1076.55"/>
    <n v="16148.25"/>
    <x v="2"/>
  </r>
  <r>
    <x v="283"/>
    <x v="4"/>
    <s v="Beverage"/>
    <x v="2"/>
    <x v="0"/>
    <n v="16"/>
    <n v="6233.5"/>
    <n v="99736"/>
    <x v="6"/>
  </r>
  <r>
    <x v="198"/>
    <x v="3"/>
    <s v="Groceries"/>
    <x v="1"/>
    <x v="3"/>
    <n v="1"/>
    <n v="2759.31"/>
    <n v="2759.31"/>
    <x v="2"/>
  </r>
  <r>
    <x v="284"/>
    <x v="5"/>
    <s v="Beverage"/>
    <x v="1"/>
    <x v="0"/>
    <n v="4"/>
    <n v="1889.44"/>
    <n v="7557.76"/>
    <x v="1"/>
  </r>
  <r>
    <x v="178"/>
    <x v="2"/>
    <s v="Beverage"/>
    <x v="0"/>
    <x v="3"/>
    <n v="6"/>
    <n v="687.44"/>
    <n v="4124.6400000000003"/>
    <x v="2"/>
  </r>
  <r>
    <x v="74"/>
    <x v="2"/>
    <s v="Groceries"/>
    <x v="1"/>
    <x v="3"/>
    <n v="17"/>
    <n v="751.48"/>
    <n v="12775.16"/>
    <x v="2"/>
  </r>
  <r>
    <x v="230"/>
    <x v="4"/>
    <s v="Groceries"/>
    <x v="2"/>
    <x v="2"/>
    <n v="1"/>
    <n v="6186.04"/>
    <n v="6186.04"/>
    <x v="1"/>
  </r>
  <r>
    <x v="22"/>
    <x v="3"/>
    <s v="Groceries"/>
    <x v="2"/>
    <x v="3"/>
    <n v="11"/>
    <n v="2706.93"/>
    <n v="29776.23"/>
    <x v="5"/>
  </r>
  <r>
    <x v="285"/>
    <x v="1"/>
    <s v="Beverage"/>
    <x v="3"/>
    <x v="0"/>
    <n v="5"/>
    <n v="1053.3499999999999"/>
    <n v="5266.75"/>
    <x v="4"/>
  </r>
  <r>
    <x v="185"/>
    <x v="3"/>
    <s v="Groceries"/>
    <x v="1"/>
    <x v="0"/>
    <n v="13"/>
    <n v="2201.5700000000002"/>
    <n v="28620.41"/>
    <x v="5"/>
  </r>
  <r>
    <x v="135"/>
    <x v="5"/>
    <s v="Food"/>
    <x v="0"/>
    <x v="2"/>
    <n v="15"/>
    <n v="1302.93"/>
    <n v="19543.95"/>
    <x v="5"/>
  </r>
  <r>
    <x v="286"/>
    <x v="9"/>
    <s v="Beverage"/>
    <x v="2"/>
    <x v="4"/>
    <n v="6"/>
    <n v="2784.93"/>
    <n v="16709.580000000002"/>
    <x v="3"/>
  </r>
  <r>
    <x v="287"/>
    <x v="6"/>
    <s v="Beverage"/>
    <x v="3"/>
    <x v="1"/>
    <n v="18"/>
    <n v="18435.22"/>
    <n v="331833.96000000002"/>
    <x v="2"/>
  </r>
  <r>
    <x v="70"/>
    <x v="0"/>
    <s v="Groceries"/>
    <x v="0"/>
    <x v="2"/>
    <n v="5"/>
    <n v="845.73"/>
    <n v="4228.6499999999996"/>
    <x v="5"/>
  </r>
  <r>
    <x v="288"/>
    <x v="2"/>
    <s v="Beverage"/>
    <x v="0"/>
    <x v="4"/>
    <n v="13"/>
    <n v="530.80999999999995"/>
    <n v="6900.53"/>
    <x v="2"/>
  </r>
  <r>
    <x v="289"/>
    <x v="5"/>
    <s v="Food"/>
    <x v="3"/>
    <x v="3"/>
    <n v="17"/>
    <n v="1505.07"/>
    <n v="25586.19"/>
    <x v="5"/>
  </r>
  <r>
    <x v="111"/>
    <x v="6"/>
    <s v="Food"/>
    <x v="2"/>
    <x v="1"/>
    <n v="9"/>
    <n v="11198.77"/>
    <n v="100788.93"/>
    <x v="6"/>
  </r>
  <r>
    <x v="70"/>
    <x v="7"/>
    <s v="Groceries"/>
    <x v="1"/>
    <x v="4"/>
    <n v="5"/>
    <n v="884.93"/>
    <n v="4424.6499999999996"/>
    <x v="5"/>
  </r>
  <r>
    <x v="140"/>
    <x v="5"/>
    <s v="Groceries"/>
    <x v="1"/>
    <x v="4"/>
    <n v="9"/>
    <n v="1194.33"/>
    <n v="10748.97"/>
    <x v="4"/>
  </r>
  <r>
    <x v="131"/>
    <x v="5"/>
    <s v="Food"/>
    <x v="3"/>
    <x v="2"/>
    <n v="15"/>
    <n v="1490.44"/>
    <n v="22356.6"/>
    <x v="5"/>
  </r>
  <r>
    <x v="263"/>
    <x v="6"/>
    <s v="Groceries"/>
    <x v="3"/>
    <x v="1"/>
    <n v="2"/>
    <n v="15287"/>
    <n v="30574"/>
    <x v="3"/>
  </r>
  <r>
    <x v="20"/>
    <x v="3"/>
    <s v="Beverage"/>
    <x v="1"/>
    <x v="4"/>
    <n v="17"/>
    <n v="2371.3000000000002"/>
    <n v="40312.1"/>
    <x v="3"/>
  </r>
  <r>
    <x v="290"/>
    <x v="1"/>
    <s v="Groceries"/>
    <x v="3"/>
    <x v="0"/>
    <n v="4"/>
    <n v="693.94"/>
    <n v="2775.76"/>
    <x v="3"/>
  </r>
  <r>
    <x v="291"/>
    <x v="5"/>
    <s v="Groceries"/>
    <x v="0"/>
    <x v="0"/>
    <n v="15"/>
    <n v="1724.45"/>
    <n v="25866.75"/>
    <x v="3"/>
  </r>
  <r>
    <x v="143"/>
    <x v="2"/>
    <s v="Groceries"/>
    <x v="2"/>
    <x v="4"/>
    <n v="15"/>
    <n v="691.39"/>
    <n v="10370.85"/>
    <x v="0"/>
  </r>
  <r>
    <x v="204"/>
    <x v="7"/>
    <s v="Beverage"/>
    <x v="3"/>
    <x v="3"/>
    <n v="1"/>
    <n v="657.76"/>
    <n v="657.76"/>
    <x v="0"/>
  </r>
  <r>
    <x v="257"/>
    <x v="7"/>
    <s v="Food"/>
    <x v="1"/>
    <x v="4"/>
    <n v="2"/>
    <n v="570.63"/>
    <n v="1141.26"/>
    <x v="5"/>
  </r>
  <r>
    <x v="98"/>
    <x v="6"/>
    <s v="Food"/>
    <x v="3"/>
    <x v="1"/>
    <n v="7"/>
    <n v="11785.58"/>
    <n v="82499.06"/>
    <x v="6"/>
  </r>
  <r>
    <x v="148"/>
    <x v="6"/>
    <s v="Groceries"/>
    <x v="2"/>
    <x v="1"/>
    <n v="17"/>
    <n v="16610.080000000002"/>
    <n v="282371.36"/>
    <x v="1"/>
  </r>
  <r>
    <x v="292"/>
    <x v="6"/>
    <s v="Groceries"/>
    <x v="2"/>
    <x v="4"/>
    <n v="17"/>
    <n v="16002.03"/>
    <n v="272034.51"/>
    <x v="4"/>
  </r>
  <r>
    <x v="293"/>
    <x v="4"/>
    <s v="Groceries"/>
    <x v="2"/>
    <x v="0"/>
    <n v="15"/>
    <n v="6156.86"/>
    <n v="92352.9"/>
    <x v="3"/>
  </r>
  <r>
    <x v="148"/>
    <x v="4"/>
    <s v="Beverage"/>
    <x v="3"/>
    <x v="4"/>
    <n v="1"/>
    <n v="4895.17"/>
    <n v="4895.17"/>
    <x v="1"/>
  </r>
  <r>
    <x v="55"/>
    <x v="4"/>
    <s v="Groceries"/>
    <x v="3"/>
    <x v="0"/>
    <n v="9"/>
    <n v="5094.7299999999996"/>
    <n v="45852.57"/>
    <x v="1"/>
  </r>
  <r>
    <x v="195"/>
    <x v="7"/>
    <s v="Beverage"/>
    <x v="2"/>
    <x v="1"/>
    <n v="15"/>
    <n v="783.83"/>
    <n v="11757.45"/>
    <x v="3"/>
  </r>
  <r>
    <x v="142"/>
    <x v="4"/>
    <s v="Beverage"/>
    <x v="0"/>
    <x v="3"/>
    <n v="8"/>
    <n v="6132.05"/>
    <n v="49056.4"/>
    <x v="4"/>
  </r>
  <r>
    <x v="189"/>
    <x v="4"/>
    <s v="Groceries"/>
    <x v="3"/>
    <x v="2"/>
    <n v="17"/>
    <n v="3722.32"/>
    <n v="63279.44"/>
    <x v="6"/>
  </r>
  <r>
    <x v="281"/>
    <x v="9"/>
    <s v="Groceries"/>
    <x v="3"/>
    <x v="1"/>
    <n v="10"/>
    <n v="3124.44"/>
    <n v="31244.400000000001"/>
    <x v="2"/>
  </r>
  <r>
    <x v="195"/>
    <x v="7"/>
    <s v="Beverage"/>
    <x v="1"/>
    <x v="0"/>
    <n v="4"/>
    <n v="782.83"/>
    <n v="3131.32"/>
    <x v="3"/>
  </r>
  <r>
    <x v="271"/>
    <x v="1"/>
    <s v="Groceries"/>
    <x v="0"/>
    <x v="0"/>
    <n v="11"/>
    <n v="1078.94"/>
    <n v="11868.34"/>
    <x v="1"/>
  </r>
  <r>
    <x v="135"/>
    <x v="6"/>
    <s v="Food"/>
    <x v="3"/>
    <x v="2"/>
    <n v="2"/>
    <n v="17455.29"/>
    <n v="34910.58"/>
    <x v="5"/>
  </r>
  <r>
    <x v="294"/>
    <x v="4"/>
    <s v="Food"/>
    <x v="1"/>
    <x v="3"/>
    <n v="5"/>
    <n v="5063.22"/>
    <n v="25316.1"/>
    <x v="5"/>
  </r>
  <r>
    <x v="146"/>
    <x v="5"/>
    <s v="Beverage"/>
    <x v="3"/>
    <x v="4"/>
    <n v="3"/>
    <n v="1654.04"/>
    <n v="4962.12"/>
    <x v="3"/>
  </r>
  <r>
    <x v="64"/>
    <x v="5"/>
    <s v="Food"/>
    <x v="0"/>
    <x v="2"/>
    <n v="6"/>
    <n v="1724.98"/>
    <n v="10349.879999999999"/>
    <x v="3"/>
  </r>
  <r>
    <x v="49"/>
    <x v="7"/>
    <s v="Food"/>
    <x v="3"/>
    <x v="3"/>
    <n v="4"/>
    <n v="969.24"/>
    <n v="3876.96"/>
    <x v="0"/>
  </r>
  <r>
    <x v="151"/>
    <x v="9"/>
    <s v="Beverage"/>
    <x v="1"/>
    <x v="2"/>
    <n v="10"/>
    <n v="3321.44"/>
    <n v="33214.400000000001"/>
    <x v="2"/>
  </r>
  <r>
    <x v="295"/>
    <x v="9"/>
    <s v="Groceries"/>
    <x v="2"/>
    <x v="1"/>
    <n v="2"/>
    <n v="3342.19"/>
    <n v="6684.38"/>
    <x v="6"/>
  </r>
  <r>
    <x v="189"/>
    <x v="1"/>
    <s v="Groceries"/>
    <x v="0"/>
    <x v="4"/>
    <n v="2"/>
    <n v="702.17"/>
    <n v="1404.34"/>
    <x v="6"/>
  </r>
  <r>
    <x v="17"/>
    <x v="5"/>
    <s v="Beverage"/>
    <x v="1"/>
    <x v="4"/>
    <n v="6"/>
    <n v="1529.93"/>
    <n v="9179.58"/>
    <x v="3"/>
  </r>
  <r>
    <x v="134"/>
    <x v="9"/>
    <s v="Groceries"/>
    <x v="1"/>
    <x v="1"/>
    <n v="1"/>
    <n v="3560.32"/>
    <n v="3560.32"/>
    <x v="4"/>
  </r>
  <r>
    <x v="215"/>
    <x v="8"/>
    <s v="Beverage"/>
    <x v="1"/>
    <x v="1"/>
    <n v="4"/>
    <n v="1194.26"/>
    <n v="4777.04"/>
    <x v="1"/>
  </r>
  <r>
    <x v="274"/>
    <x v="5"/>
    <s v="Food"/>
    <x v="0"/>
    <x v="2"/>
    <n v="6"/>
    <n v="1758.04"/>
    <n v="10548.24"/>
    <x v="5"/>
  </r>
  <r>
    <x v="246"/>
    <x v="0"/>
    <s v="Food"/>
    <x v="3"/>
    <x v="4"/>
    <n v="5"/>
    <n v="1026.9000000000001"/>
    <n v="5134.5"/>
    <x v="2"/>
  </r>
  <r>
    <x v="296"/>
    <x v="8"/>
    <s v="Groceries"/>
    <x v="0"/>
    <x v="1"/>
    <n v="14"/>
    <n v="1100.1099999999999"/>
    <n v="15401.54"/>
    <x v="2"/>
  </r>
  <r>
    <x v="63"/>
    <x v="2"/>
    <s v="Beverage"/>
    <x v="0"/>
    <x v="1"/>
    <n v="7"/>
    <n v="778.62"/>
    <n v="5450.34"/>
    <x v="2"/>
  </r>
  <r>
    <x v="285"/>
    <x v="3"/>
    <s v="Beverage"/>
    <x v="3"/>
    <x v="0"/>
    <n v="1"/>
    <n v="2615.0500000000002"/>
    <n v="2615.0500000000002"/>
    <x v="4"/>
  </r>
  <r>
    <x v="135"/>
    <x v="9"/>
    <s v="Groceries"/>
    <x v="3"/>
    <x v="2"/>
    <n v="11"/>
    <n v="4410.5"/>
    <n v="48515.5"/>
    <x v="5"/>
  </r>
  <r>
    <x v="74"/>
    <x v="1"/>
    <s v="Groceries"/>
    <x v="2"/>
    <x v="0"/>
    <n v="3"/>
    <n v="938.43"/>
    <n v="2815.29"/>
    <x v="2"/>
  </r>
  <r>
    <x v="43"/>
    <x v="6"/>
    <s v="Groceries"/>
    <x v="3"/>
    <x v="0"/>
    <n v="19"/>
    <n v="14154.11"/>
    <n v="268928.09000000003"/>
    <x v="6"/>
  </r>
  <r>
    <x v="193"/>
    <x v="8"/>
    <s v="Groceries"/>
    <x v="1"/>
    <x v="3"/>
    <n v="17"/>
    <n v="1157.3800000000001"/>
    <n v="19675.46"/>
    <x v="3"/>
  </r>
  <r>
    <x v="297"/>
    <x v="1"/>
    <s v="Groceries"/>
    <x v="0"/>
    <x v="1"/>
    <n v="10"/>
    <n v="840.92"/>
    <n v="8409.2000000000007"/>
    <x v="6"/>
  </r>
  <r>
    <x v="159"/>
    <x v="7"/>
    <s v="Groceries"/>
    <x v="1"/>
    <x v="3"/>
    <n v="11"/>
    <n v="837.84"/>
    <n v="9216.24"/>
    <x v="0"/>
  </r>
  <r>
    <x v="298"/>
    <x v="7"/>
    <s v="Groceries"/>
    <x v="3"/>
    <x v="0"/>
    <n v="14"/>
    <n v="738.31"/>
    <n v="10336.34"/>
    <x v="4"/>
  </r>
  <r>
    <x v="299"/>
    <x v="8"/>
    <s v="Groceries"/>
    <x v="0"/>
    <x v="1"/>
    <n v="19"/>
    <n v="965.84"/>
    <n v="18350.96"/>
    <x v="2"/>
  </r>
  <r>
    <x v="7"/>
    <x v="0"/>
    <s v="Beverage"/>
    <x v="2"/>
    <x v="3"/>
    <n v="6"/>
    <n v="1267.07"/>
    <n v="7602.42"/>
    <x v="6"/>
  </r>
  <r>
    <x v="198"/>
    <x v="3"/>
    <s v="Groceries"/>
    <x v="0"/>
    <x v="3"/>
    <n v="11"/>
    <n v="2001.04"/>
    <n v="22011.439999999999"/>
    <x v="2"/>
  </r>
  <r>
    <x v="287"/>
    <x v="5"/>
    <s v="Food"/>
    <x v="0"/>
    <x v="4"/>
    <n v="9"/>
    <n v="1112.82"/>
    <n v="10015.379999999999"/>
    <x v="2"/>
  </r>
  <r>
    <x v="195"/>
    <x v="6"/>
    <s v="Groceries"/>
    <x v="3"/>
    <x v="4"/>
    <n v="15"/>
    <n v="12337.5"/>
    <n v="185062.5"/>
    <x v="3"/>
  </r>
  <r>
    <x v="15"/>
    <x v="3"/>
    <s v="Groceries"/>
    <x v="2"/>
    <x v="1"/>
    <n v="14"/>
    <n v="2004.59"/>
    <n v="28064.26"/>
    <x v="5"/>
  </r>
  <r>
    <x v="235"/>
    <x v="6"/>
    <s v="Groceries"/>
    <x v="0"/>
    <x v="0"/>
    <n v="15"/>
    <n v="18043.39"/>
    <n v="270650.84999999998"/>
    <x v="2"/>
  </r>
  <r>
    <x v="229"/>
    <x v="0"/>
    <s v="Beverage"/>
    <x v="1"/>
    <x v="0"/>
    <n v="13"/>
    <n v="950.66"/>
    <n v="12358.58"/>
    <x v="4"/>
  </r>
  <r>
    <x v="152"/>
    <x v="6"/>
    <s v="Beverage"/>
    <x v="1"/>
    <x v="2"/>
    <n v="11"/>
    <n v="15835.56"/>
    <n v="174191.16"/>
    <x v="4"/>
  </r>
  <r>
    <x v="46"/>
    <x v="9"/>
    <s v="Food"/>
    <x v="3"/>
    <x v="3"/>
    <n v="17"/>
    <n v="3724.38"/>
    <n v="63314.46"/>
    <x v="0"/>
  </r>
  <r>
    <x v="228"/>
    <x v="5"/>
    <s v="Beverage"/>
    <x v="1"/>
    <x v="0"/>
    <n v="7"/>
    <n v="1501.42"/>
    <n v="10509.94"/>
    <x v="5"/>
  </r>
  <r>
    <x v="98"/>
    <x v="2"/>
    <s v="Groceries"/>
    <x v="2"/>
    <x v="4"/>
    <n v="3"/>
    <n v="492.2"/>
    <n v="1476.6"/>
    <x v="6"/>
  </r>
  <r>
    <x v="152"/>
    <x v="1"/>
    <s v="Food"/>
    <x v="0"/>
    <x v="4"/>
    <n v="8"/>
    <n v="1138.02"/>
    <n v="9104.16"/>
    <x v="4"/>
  </r>
  <r>
    <x v="268"/>
    <x v="0"/>
    <s v="Groceries"/>
    <x v="2"/>
    <x v="2"/>
    <n v="17"/>
    <n v="1321.9"/>
    <n v="22472.3"/>
    <x v="0"/>
  </r>
  <r>
    <x v="31"/>
    <x v="7"/>
    <s v="Beverage"/>
    <x v="0"/>
    <x v="3"/>
    <n v="18"/>
    <n v="759.78"/>
    <n v="13676.04"/>
    <x v="5"/>
  </r>
  <r>
    <x v="300"/>
    <x v="3"/>
    <s v="Groceries"/>
    <x v="3"/>
    <x v="3"/>
    <n v="6"/>
    <n v="3163.58"/>
    <n v="18981.48"/>
    <x v="1"/>
  </r>
  <r>
    <x v="68"/>
    <x v="8"/>
    <s v="Groceries"/>
    <x v="2"/>
    <x v="4"/>
    <n v="8"/>
    <n v="768.66"/>
    <n v="6149.28"/>
    <x v="3"/>
  </r>
  <r>
    <x v="103"/>
    <x v="2"/>
    <s v="Groceries"/>
    <x v="3"/>
    <x v="0"/>
    <n v="14"/>
    <n v="647.01"/>
    <n v="9058.14"/>
    <x v="0"/>
  </r>
  <r>
    <x v="248"/>
    <x v="2"/>
    <s v="Beverage"/>
    <x v="0"/>
    <x v="2"/>
    <n v="17"/>
    <n v="547.33000000000004"/>
    <n v="9304.61"/>
    <x v="1"/>
  </r>
  <r>
    <x v="47"/>
    <x v="0"/>
    <s v="Food"/>
    <x v="1"/>
    <x v="2"/>
    <n v="18"/>
    <n v="1086.7"/>
    <n v="19560.599999999999"/>
    <x v="4"/>
  </r>
  <r>
    <x v="153"/>
    <x v="2"/>
    <s v="Groceries"/>
    <x v="1"/>
    <x v="3"/>
    <n v="11"/>
    <n v="622.83000000000004"/>
    <n v="6851.13"/>
    <x v="6"/>
  </r>
  <r>
    <x v="65"/>
    <x v="8"/>
    <s v="Beverage"/>
    <x v="1"/>
    <x v="0"/>
    <n v="12"/>
    <n v="864.18"/>
    <n v="10370.16"/>
    <x v="0"/>
  </r>
  <r>
    <x v="217"/>
    <x v="6"/>
    <s v="Food"/>
    <x v="0"/>
    <x v="3"/>
    <n v="10"/>
    <n v="13037.27"/>
    <n v="130372.7"/>
    <x v="2"/>
  </r>
  <r>
    <x v="39"/>
    <x v="4"/>
    <s v="Beverage"/>
    <x v="2"/>
    <x v="4"/>
    <n v="16"/>
    <n v="5141.71"/>
    <n v="82267.360000000001"/>
    <x v="1"/>
  </r>
  <r>
    <x v="250"/>
    <x v="5"/>
    <s v="Groceries"/>
    <x v="2"/>
    <x v="4"/>
    <n v="9"/>
    <n v="1896.38"/>
    <n v="17067.419999999998"/>
    <x v="6"/>
  </r>
  <r>
    <x v="117"/>
    <x v="8"/>
    <s v="Beverage"/>
    <x v="2"/>
    <x v="4"/>
    <n v="12"/>
    <n v="989.91"/>
    <n v="11878.92"/>
    <x v="6"/>
  </r>
  <r>
    <x v="181"/>
    <x v="5"/>
    <s v="Food"/>
    <x v="0"/>
    <x v="3"/>
    <n v="16"/>
    <n v="1345.41"/>
    <n v="21526.560000000001"/>
    <x v="6"/>
  </r>
  <r>
    <x v="62"/>
    <x v="4"/>
    <s v="Beverage"/>
    <x v="3"/>
    <x v="1"/>
    <n v="13"/>
    <n v="6354.33"/>
    <n v="82606.289999999994"/>
    <x v="2"/>
  </r>
  <r>
    <x v="105"/>
    <x v="9"/>
    <s v="Groceries"/>
    <x v="2"/>
    <x v="4"/>
    <n v="14"/>
    <n v="3803.97"/>
    <n v="53255.58"/>
    <x v="0"/>
  </r>
  <r>
    <x v="73"/>
    <x v="5"/>
    <s v="Food"/>
    <x v="2"/>
    <x v="0"/>
    <n v="6"/>
    <n v="1168.49"/>
    <n v="7010.94"/>
    <x v="4"/>
  </r>
  <r>
    <x v="168"/>
    <x v="8"/>
    <s v="Beverage"/>
    <x v="0"/>
    <x v="2"/>
    <n v="3"/>
    <n v="809.7"/>
    <n v="2429.1"/>
    <x v="6"/>
  </r>
  <r>
    <x v="39"/>
    <x v="9"/>
    <s v="Food"/>
    <x v="1"/>
    <x v="4"/>
    <n v="6"/>
    <n v="3236.55"/>
    <n v="19419.3"/>
    <x v="1"/>
  </r>
  <r>
    <x v="35"/>
    <x v="1"/>
    <s v="Groceries"/>
    <x v="3"/>
    <x v="0"/>
    <n v="12"/>
    <n v="930.66"/>
    <n v="11167.92"/>
    <x v="6"/>
  </r>
  <r>
    <x v="207"/>
    <x v="8"/>
    <s v="Beverage"/>
    <x v="3"/>
    <x v="4"/>
    <n v="9"/>
    <n v="851.59"/>
    <n v="7664.31"/>
    <x v="2"/>
  </r>
  <r>
    <x v="78"/>
    <x v="1"/>
    <s v="Groceries"/>
    <x v="0"/>
    <x v="2"/>
    <n v="13"/>
    <n v="966.68"/>
    <n v="12566.84"/>
    <x v="3"/>
  </r>
  <r>
    <x v="191"/>
    <x v="6"/>
    <s v="Food"/>
    <x v="2"/>
    <x v="2"/>
    <n v="1"/>
    <n v="15489.04"/>
    <n v="15489.04"/>
    <x v="1"/>
  </r>
  <r>
    <x v="301"/>
    <x v="2"/>
    <s v="Beverage"/>
    <x v="3"/>
    <x v="3"/>
    <n v="13"/>
    <n v="760.08"/>
    <n v="9881.0400000000009"/>
    <x v="2"/>
  </r>
  <r>
    <x v="180"/>
    <x v="2"/>
    <s v="Groceries"/>
    <x v="1"/>
    <x v="0"/>
    <n v="13"/>
    <n v="588.5"/>
    <n v="7650.5"/>
    <x v="4"/>
  </r>
  <r>
    <x v="215"/>
    <x v="4"/>
    <s v="Food"/>
    <x v="3"/>
    <x v="3"/>
    <n v="18"/>
    <n v="5038.7700000000004"/>
    <n v="90697.86"/>
    <x v="1"/>
  </r>
  <r>
    <x v="125"/>
    <x v="5"/>
    <s v="Food"/>
    <x v="3"/>
    <x v="3"/>
    <n v="14"/>
    <n v="1794.8"/>
    <n v="25127.200000000001"/>
    <x v="4"/>
  </r>
  <r>
    <x v="302"/>
    <x v="8"/>
    <s v="Beverage"/>
    <x v="2"/>
    <x v="4"/>
    <n v="8"/>
    <n v="836.04"/>
    <n v="6688.32"/>
    <x v="3"/>
  </r>
  <r>
    <x v="211"/>
    <x v="4"/>
    <s v="Beverage"/>
    <x v="3"/>
    <x v="1"/>
    <n v="1"/>
    <n v="6058.95"/>
    <n v="6058.95"/>
    <x v="3"/>
  </r>
  <r>
    <x v="22"/>
    <x v="9"/>
    <s v="Groceries"/>
    <x v="2"/>
    <x v="2"/>
    <n v="3"/>
    <n v="4032.84"/>
    <n v="12098.52"/>
    <x v="5"/>
  </r>
  <r>
    <x v="36"/>
    <x v="4"/>
    <s v="Groceries"/>
    <x v="3"/>
    <x v="4"/>
    <n v="13"/>
    <n v="3834.78"/>
    <n v="49852.14"/>
    <x v="0"/>
  </r>
  <r>
    <x v="262"/>
    <x v="6"/>
    <s v="Groceries"/>
    <x v="3"/>
    <x v="3"/>
    <n v="19"/>
    <n v="17256.93"/>
    <n v="327881.67"/>
    <x v="1"/>
  </r>
  <r>
    <x v="293"/>
    <x v="6"/>
    <s v="Food"/>
    <x v="3"/>
    <x v="3"/>
    <n v="8"/>
    <n v="18862.3"/>
    <n v="150898.4"/>
    <x v="3"/>
  </r>
  <r>
    <x v="136"/>
    <x v="3"/>
    <s v="Beverage"/>
    <x v="2"/>
    <x v="1"/>
    <n v="19"/>
    <n v="2537.1"/>
    <n v="48204.9"/>
    <x v="4"/>
  </r>
  <r>
    <x v="67"/>
    <x v="6"/>
    <s v="Groceries"/>
    <x v="0"/>
    <x v="0"/>
    <n v="17"/>
    <n v="13489.85"/>
    <n v="229327.45"/>
    <x v="1"/>
  </r>
  <r>
    <x v="12"/>
    <x v="2"/>
    <s v="Groceries"/>
    <x v="0"/>
    <x v="2"/>
    <n v="17"/>
    <n v="655.22"/>
    <n v="11138.74"/>
    <x v="2"/>
  </r>
  <r>
    <x v="264"/>
    <x v="9"/>
    <s v="Beverage"/>
    <x v="1"/>
    <x v="1"/>
    <n v="19"/>
    <n v="3513.29"/>
    <n v="66752.509999999995"/>
    <x v="1"/>
  </r>
  <r>
    <x v="15"/>
    <x v="1"/>
    <s v="Food"/>
    <x v="0"/>
    <x v="2"/>
    <n v="13"/>
    <n v="635.54999999999995"/>
    <n v="8262.15"/>
    <x v="5"/>
  </r>
  <r>
    <x v="88"/>
    <x v="6"/>
    <s v="Food"/>
    <x v="3"/>
    <x v="2"/>
    <n v="14"/>
    <n v="17650.330000000002"/>
    <n v="247104.62"/>
    <x v="6"/>
  </r>
  <r>
    <x v="216"/>
    <x v="7"/>
    <s v="Beverage"/>
    <x v="3"/>
    <x v="0"/>
    <n v="1"/>
    <n v="602.72"/>
    <n v="602.72"/>
    <x v="2"/>
  </r>
  <r>
    <x v="193"/>
    <x v="2"/>
    <s v="Food"/>
    <x v="0"/>
    <x v="2"/>
    <n v="8"/>
    <n v="758.04"/>
    <n v="6064.32"/>
    <x v="3"/>
  </r>
  <r>
    <x v="22"/>
    <x v="2"/>
    <s v="Groceries"/>
    <x v="3"/>
    <x v="1"/>
    <n v="2"/>
    <n v="488.18"/>
    <n v="976.36"/>
    <x v="5"/>
  </r>
  <r>
    <x v="229"/>
    <x v="1"/>
    <s v="Food"/>
    <x v="1"/>
    <x v="2"/>
    <n v="8"/>
    <n v="942.06"/>
    <n v="7536.48"/>
    <x v="4"/>
  </r>
  <r>
    <x v="303"/>
    <x v="2"/>
    <s v="Food"/>
    <x v="0"/>
    <x v="3"/>
    <n v="16"/>
    <n v="702.31"/>
    <n v="11236.96"/>
    <x v="6"/>
  </r>
  <r>
    <x v="304"/>
    <x v="4"/>
    <s v="Food"/>
    <x v="3"/>
    <x v="3"/>
    <n v="15"/>
    <n v="4707.22"/>
    <n v="70608.3"/>
    <x v="1"/>
  </r>
  <r>
    <x v="305"/>
    <x v="3"/>
    <s v="Groceries"/>
    <x v="3"/>
    <x v="4"/>
    <n v="2"/>
    <n v="2026.95"/>
    <n v="4053.9"/>
    <x v="6"/>
  </r>
  <r>
    <x v="259"/>
    <x v="4"/>
    <s v="Food"/>
    <x v="3"/>
    <x v="1"/>
    <n v="1"/>
    <n v="3850.77"/>
    <n v="3850.77"/>
    <x v="1"/>
  </r>
  <r>
    <x v="43"/>
    <x v="1"/>
    <s v="Beverage"/>
    <x v="1"/>
    <x v="2"/>
    <n v="15"/>
    <n v="864.28"/>
    <n v="12964.2"/>
    <x v="6"/>
  </r>
  <r>
    <x v="306"/>
    <x v="2"/>
    <s v="Food"/>
    <x v="1"/>
    <x v="1"/>
    <n v="6"/>
    <n v="744.87"/>
    <n v="4469.22"/>
    <x v="5"/>
  </r>
  <r>
    <x v="235"/>
    <x v="5"/>
    <s v="Groceries"/>
    <x v="1"/>
    <x v="1"/>
    <n v="3"/>
    <n v="1559.94"/>
    <n v="4679.82"/>
    <x v="2"/>
  </r>
  <r>
    <x v="307"/>
    <x v="7"/>
    <s v="Beverage"/>
    <x v="1"/>
    <x v="4"/>
    <n v="17"/>
    <n v="599.71"/>
    <n v="10195.07"/>
    <x v="5"/>
  </r>
  <r>
    <x v="198"/>
    <x v="8"/>
    <s v="Beverage"/>
    <x v="2"/>
    <x v="1"/>
    <n v="5"/>
    <n v="771.23"/>
    <n v="3856.15"/>
    <x v="2"/>
  </r>
  <r>
    <x v="10"/>
    <x v="9"/>
    <s v="Food"/>
    <x v="2"/>
    <x v="4"/>
    <n v="16"/>
    <n v="4095.35"/>
    <n v="65525.599999999999"/>
    <x v="4"/>
  </r>
  <r>
    <x v="95"/>
    <x v="7"/>
    <s v="Beverage"/>
    <x v="0"/>
    <x v="2"/>
    <n v="12"/>
    <n v="609.57000000000005"/>
    <n v="7314.84"/>
    <x v="3"/>
  </r>
  <r>
    <x v="61"/>
    <x v="2"/>
    <s v="Groceries"/>
    <x v="3"/>
    <x v="1"/>
    <n v="9"/>
    <n v="431.44"/>
    <n v="3882.96"/>
    <x v="4"/>
  </r>
  <r>
    <x v="308"/>
    <x v="8"/>
    <s v="Groceries"/>
    <x v="1"/>
    <x v="2"/>
    <n v="12"/>
    <n v="1014.15"/>
    <n v="12169.8"/>
    <x v="5"/>
  </r>
  <r>
    <x v="309"/>
    <x v="2"/>
    <s v="Food"/>
    <x v="0"/>
    <x v="4"/>
    <n v="1"/>
    <n v="469.64"/>
    <n v="469.64"/>
    <x v="0"/>
  </r>
  <r>
    <x v="310"/>
    <x v="1"/>
    <s v="Food"/>
    <x v="0"/>
    <x v="4"/>
    <n v="6"/>
    <n v="1113.78"/>
    <n v="6682.68"/>
    <x v="2"/>
  </r>
  <r>
    <x v="36"/>
    <x v="2"/>
    <s v="Beverage"/>
    <x v="0"/>
    <x v="4"/>
    <n v="17"/>
    <n v="620.63"/>
    <n v="10550.71"/>
    <x v="0"/>
  </r>
  <r>
    <x v="278"/>
    <x v="6"/>
    <s v="Beverage"/>
    <x v="2"/>
    <x v="1"/>
    <n v="6"/>
    <n v="15591.19"/>
    <n v="93547.14"/>
    <x v="6"/>
  </r>
  <r>
    <x v="226"/>
    <x v="2"/>
    <s v="Food"/>
    <x v="0"/>
    <x v="1"/>
    <n v="13"/>
    <n v="585.28"/>
    <n v="7608.64"/>
    <x v="2"/>
  </r>
  <r>
    <x v="151"/>
    <x v="2"/>
    <s v="Groceries"/>
    <x v="3"/>
    <x v="1"/>
    <n v="17"/>
    <n v="571.47"/>
    <n v="9714.99"/>
    <x v="2"/>
  </r>
  <r>
    <x v="106"/>
    <x v="8"/>
    <s v="Beverage"/>
    <x v="3"/>
    <x v="0"/>
    <n v="18"/>
    <n v="1282.69"/>
    <n v="23088.42"/>
    <x v="0"/>
  </r>
  <r>
    <x v="301"/>
    <x v="4"/>
    <s v="Beverage"/>
    <x v="1"/>
    <x v="1"/>
    <n v="7"/>
    <n v="4753"/>
    <n v="33271"/>
    <x v="2"/>
  </r>
  <r>
    <x v="204"/>
    <x v="7"/>
    <s v="Food"/>
    <x v="0"/>
    <x v="0"/>
    <n v="4"/>
    <n v="887.05"/>
    <n v="3548.2"/>
    <x v="0"/>
  </r>
  <r>
    <x v="290"/>
    <x v="2"/>
    <s v="Food"/>
    <x v="2"/>
    <x v="4"/>
    <n v="7"/>
    <n v="511.92"/>
    <n v="3583.44"/>
    <x v="3"/>
  </r>
  <r>
    <x v="59"/>
    <x v="7"/>
    <s v="Food"/>
    <x v="1"/>
    <x v="3"/>
    <n v="14"/>
    <n v="693.49"/>
    <n v="9708.86"/>
    <x v="1"/>
  </r>
  <r>
    <x v="98"/>
    <x v="0"/>
    <s v="Groceries"/>
    <x v="3"/>
    <x v="2"/>
    <n v="16"/>
    <n v="870.18"/>
    <n v="13922.88"/>
    <x v="6"/>
  </r>
  <r>
    <x v="17"/>
    <x v="3"/>
    <s v="Groceries"/>
    <x v="0"/>
    <x v="0"/>
    <n v="9"/>
    <n v="2219.58"/>
    <n v="19976.22"/>
    <x v="3"/>
  </r>
  <r>
    <x v="48"/>
    <x v="5"/>
    <s v="Groceries"/>
    <x v="0"/>
    <x v="3"/>
    <n v="16"/>
    <n v="1412.89"/>
    <n v="22606.240000000002"/>
    <x v="0"/>
  </r>
  <r>
    <x v="285"/>
    <x v="3"/>
    <s v="Beverage"/>
    <x v="2"/>
    <x v="1"/>
    <n v="7"/>
    <n v="2847.24"/>
    <n v="19930.68"/>
    <x v="4"/>
  </r>
  <r>
    <x v="293"/>
    <x v="5"/>
    <s v="Food"/>
    <x v="1"/>
    <x v="3"/>
    <n v="14"/>
    <n v="1146.8499999999999"/>
    <n v="16055.9"/>
    <x v="3"/>
  </r>
  <r>
    <x v="248"/>
    <x v="5"/>
    <s v="Beverage"/>
    <x v="3"/>
    <x v="3"/>
    <n v="18"/>
    <n v="1274.55"/>
    <n v="22941.9"/>
    <x v="1"/>
  </r>
  <r>
    <x v="65"/>
    <x v="4"/>
    <s v="Food"/>
    <x v="1"/>
    <x v="2"/>
    <n v="6"/>
    <n v="4475.63"/>
    <n v="26853.78"/>
    <x v="0"/>
  </r>
  <r>
    <x v="303"/>
    <x v="1"/>
    <s v="Groceries"/>
    <x v="0"/>
    <x v="4"/>
    <n v="4"/>
    <n v="805.15"/>
    <n v="3220.6"/>
    <x v="6"/>
  </r>
  <r>
    <x v="171"/>
    <x v="4"/>
    <s v="Groceries"/>
    <x v="2"/>
    <x v="0"/>
    <n v="1"/>
    <n v="4700.6400000000003"/>
    <n v="4700.6400000000003"/>
    <x v="6"/>
  </r>
  <r>
    <x v="57"/>
    <x v="1"/>
    <s v="Groceries"/>
    <x v="2"/>
    <x v="2"/>
    <n v="12"/>
    <n v="986.13"/>
    <n v="11833.56"/>
    <x v="1"/>
  </r>
  <r>
    <x v="283"/>
    <x v="3"/>
    <s v="Food"/>
    <x v="0"/>
    <x v="4"/>
    <n v="9"/>
    <n v="2021.77"/>
    <n v="18195.93"/>
    <x v="6"/>
  </r>
  <r>
    <x v="244"/>
    <x v="8"/>
    <s v="Groceries"/>
    <x v="3"/>
    <x v="4"/>
    <n v="2"/>
    <n v="802.56"/>
    <n v="1605.12"/>
    <x v="4"/>
  </r>
  <r>
    <x v="69"/>
    <x v="1"/>
    <s v="Beverage"/>
    <x v="1"/>
    <x v="4"/>
    <n v="14"/>
    <n v="842.28"/>
    <n v="11791.92"/>
    <x v="5"/>
  </r>
  <r>
    <x v="45"/>
    <x v="4"/>
    <s v="Food"/>
    <x v="1"/>
    <x v="0"/>
    <n v="16"/>
    <n v="3989.06"/>
    <n v="63824.959999999999"/>
    <x v="6"/>
  </r>
  <r>
    <x v="35"/>
    <x v="8"/>
    <s v="Food"/>
    <x v="1"/>
    <x v="1"/>
    <n v="7"/>
    <n v="781.28"/>
    <n v="5468.96"/>
    <x v="6"/>
  </r>
  <r>
    <x v="174"/>
    <x v="3"/>
    <s v="Food"/>
    <x v="1"/>
    <x v="3"/>
    <n v="11"/>
    <n v="2380.0100000000002"/>
    <n v="26180.11"/>
    <x v="6"/>
  </r>
  <r>
    <x v="182"/>
    <x v="3"/>
    <s v="Groceries"/>
    <x v="2"/>
    <x v="0"/>
    <n v="16"/>
    <n v="1766.95"/>
    <n v="28271.200000000001"/>
    <x v="0"/>
  </r>
  <r>
    <x v="183"/>
    <x v="1"/>
    <s v="Food"/>
    <x v="3"/>
    <x v="3"/>
    <n v="15"/>
    <n v="776.61"/>
    <n v="11649.15"/>
    <x v="2"/>
  </r>
  <r>
    <x v="205"/>
    <x v="5"/>
    <s v="Beverage"/>
    <x v="0"/>
    <x v="2"/>
    <n v="12"/>
    <n v="1419.45"/>
    <n v="17033.400000000001"/>
    <x v="5"/>
  </r>
  <r>
    <x v="234"/>
    <x v="6"/>
    <s v="Groceries"/>
    <x v="2"/>
    <x v="4"/>
    <n v="4"/>
    <n v="17855.75"/>
    <n v="71423"/>
    <x v="6"/>
  </r>
  <r>
    <x v="256"/>
    <x v="1"/>
    <s v="Beverage"/>
    <x v="2"/>
    <x v="2"/>
    <n v="5"/>
    <n v="675.1"/>
    <n v="3375.5"/>
    <x v="3"/>
  </r>
  <r>
    <x v="9"/>
    <x v="1"/>
    <s v="Groceries"/>
    <x v="2"/>
    <x v="2"/>
    <n v="5"/>
    <n v="1022.87"/>
    <n v="5114.3500000000004"/>
    <x v="5"/>
  </r>
  <r>
    <x v="219"/>
    <x v="0"/>
    <s v="Groceries"/>
    <x v="2"/>
    <x v="3"/>
    <n v="5"/>
    <n v="1387.32"/>
    <n v="6936.6"/>
    <x v="5"/>
  </r>
  <r>
    <x v="170"/>
    <x v="0"/>
    <s v="Food"/>
    <x v="1"/>
    <x v="2"/>
    <n v="2"/>
    <n v="1134.0899999999999"/>
    <n v="2268.1799999999998"/>
    <x v="0"/>
  </r>
  <r>
    <x v="272"/>
    <x v="3"/>
    <s v="Food"/>
    <x v="1"/>
    <x v="2"/>
    <n v="13"/>
    <n v="2256.3000000000002"/>
    <n v="29331.9"/>
    <x v="4"/>
  </r>
  <r>
    <x v="311"/>
    <x v="9"/>
    <s v="Food"/>
    <x v="3"/>
    <x v="2"/>
    <n v="15"/>
    <n v="3074.3"/>
    <n v="46114.5"/>
    <x v="4"/>
  </r>
  <r>
    <x v="18"/>
    <x v="7"/>
    <s v="Groceries"/>
    <x v="1"/>
    <x v="2"/>
    <n v="15"/>
    <n v="939.45"/>
    <n v="14091.75"/>
    <x v="2"/>
  </r>
  <r>
    <x v="312"/>
    <x v="4"/>
    <s v="Beverage"/>
    <x v="1"/>
    <x v="1"/>
    <n v="11"/>
    <n v="4581.42"/>
    <n v="50395.62"/>
    <x v="6"/>
  </r>
  <r>
    <x v="26"/>
    <x v="3"/>
    <s v="Food"/>
    <x v="1"/>
    <x v="4"/>
    <n v="10"/>
    <n v="2506.9299999999998"/>
    <n v="25069.3"/>
    <x v="1"/>
  </r>
  <r>
    <x v="159"/>
    <x v="7"/>
    <s v="Beverage"/>
    <x v="1"/>
    <x v="0"/>
    <n v="19"/>
    <n v="1032.8800000000001"/>
    <n v="19624.72"/>
    <x v="0"/>
  </r>
  <r>
    <x v="88"/>
    <x v="3"/>
    <s v="Groceries"/>
    <x v="3"/>
    <x v="3"/>
    <n v="2"/>
    <n v="2678.16"/>
    <n v="5356.32"/>
    <x v="6"/>
  </r>
  <r>
    <x v="301"/>
    <x v="5"/>
    <s v="Food"/>
    <x v="0"/>
    <x v="0"/>
    <n v="1"/>
    <n v="1166.26"/>
    <n v="1166.26"/>
    <x v="2"/>
  </r>
  <r>
    <x v="139"/>
    <x v="0"/>
    <s v="Groceries"/>
    <x v="1"/>
    <x v="3"/>
    <n v="12"/>
    <n v="868.9"/>
    <n v="10426.799999999999"/>
    <x v="0"/>
  </r>
  <r>
    <x v="283"/>
    <x v="6"/>
    <s v="Groceries"/>
    <x v="3"/>
    <x v="1"/>
    <n v="10"/>
    <n v="17623.169999999998"/>
    <n v="176231.7"/>
    <x v="6"/>
  </r>
  <r>
    <x v="250"/>
    <x v="2"/>
    <s v="Groceries"/>
    <x v="1"/>
    <x v="0"/>
    <n v="8"/>
    <n v="453.58"/>
    <n v="3628.64"/>
    <x v="6"/>
  </r>
  <r>
    <x v="271"/>
    <x v="7"/>
    <s v="Groceries"/>
    <x v="1"/>
    <x v="0"/>
    <n v="17"/>
    <n v="1013.09"/>
    <n v="17222.53"/>
    <x v="1"/>
  </r>
  <r>
    <x v="79"/>
    <x v="3"/>
    <s v="Beverage"/>
    <x v="1"/>
    <x v="2"/>
    <n v="6"/>
    <n v="1965.09"/>
    <n v="11790.54"/>
    <x v="5"/>
  </r>
  <r>
    <x v="65"/>
    <x v="1"/>
    <s v="Beverage"/>
    <x v="3"/>
    <x v="4"/>
    <n v="13"/>
    <n v="987.02"/>
    <n v="12831.26"/>
    <x v="0"/>
  </r>
  <r>
    <x v="212"/>
    <x v="8"/>
    <s v="Beverage"/>
    <x v="3"/>
    <x v="1"/>
    <n v="18"/>
    <n v="727"/>
    <n v="13086"/>
    <x v="2"/>
  </r>
  <r>
    <x v="186"/>
    <x v="3"/>
    <s v="Beverage"/>
    <x v="2"/>
    <x v="3"/>
    <n v="12"/>
    <n v="2247.96"/>
    <n v="26975.52"/>
    <x v="4"/>
  </r>
  <r>
    <x v="140"/>
    <x v="1"/>
    <s v="Food"/>
    <x v="1"/>
    <x v="4"/>
    <n v="2"/>
    <n v="1084.69"/>
    <n v="2169.38"/>
    <x v="4"/>
  </r>
  <r>
    <x v="30"/>
    <x v="3"/>
    <s v="Food"/>
    <x v="0"/>
    <x v="2"/>
    <n v="4"/>
    <n v="2011.97"/>
    <n v="8047.88"/>
    <x v="5"/>
  </r>
  <r>
    <x v="200"/>
    <x v="4"/>
    <s v="Beverage"/>
    <x v="1"/>
    <x v="1"/>
    <n v="15"/>
    <n v="6171.15"/>
    <n v="92567.25"/>
    <x v="0"/>
  </r>
  <r>
    <x v="215"/>
    <x v="0"/>
    <s v="Food"/>
    <x v="0"/>
    <x v="1"/>
    <n v="10"/>
    <n v="1233.6199999999999"/>
    <n v="12336.2"/>
    <x v="1"/>
  </r>
  <r>
    <x v="246"/>
    <x v="3"/>
    <s v="Beverage"/>
    <x v="1"/>
    <x v="3"/>
    <n v="12"/>
    <n v="1976.03"/>
    <n v="23712.36"/>
    <x v="2"/>
  </r>
  <r>
    <x v="201"/>
    <x v="0"/>
    <s v="Beverage"/>
    <x v="1"/>
    <x v="1"/>
    <n v="4"/>
    <n v="1275.95"/>
    <n v="5103.8"/>
    <x v="6"/>
  </r>
  <r>
    <x v="65"/>
    <x v="6"/>
    <s v="Food"/>
    <x v="3"/>
    <x v="2"/>
    <n v="18"/>
    <n v="15730.76"/>
    <n v="283153.68"/>
    <x v="0"/>
  </r>
  <r>
    <x v="307"/>
    <x v="8"/>
    <s v="Food"/>
    <x v="3"/>
    <x v="0"/>
    <n v="14"/>
    <n v="965.42"/>
    <n v="13515.88"/>
    <x v="5"/>
  </r>
  <r>
    <x v="277"/>
    <x v="9"/>
    <s v="Food"/>
    <x v="2"/>
    <x v="1"/>
    <n v="7"/>
    <n v="2715.17"/>
    <n v="19006.189999999999"/>
    <x v="3"/>
  </r>
  <r>
    <x v="11"/>
    <x v="6"/>
    <s v="Food"/>
    <x v="1"/>
    <x v="2"/>
    <n v="2"/>
    <n v="13364.36"/>
    <n v="26728.720000000001"/>
    <x v="6"/>
  </r>
  <r>
    <x v="21"/>
    <x v="0"/>
    <s v="Groceries"/>
    <x v="3"/>
    <x v="0"/>
    <n v="14"/>
    <n v="925.12"/>
    <n v="12951.68"/>
    <x v="3"/>
  </r>
  <r>
    <x v="162"/>
    <x v="8"/>
    <s v="Groceries"/>
    <x v="0"/>
    <x v="4"/>
    <n v="19"/>
    <n v="788.93"/>
    <n v="14989.67"/>
    <x v="3"/>
  </r>
  <r>
    <x v="141"/>
    <x v="5"/>
    <s v="Food"/>
    <x v="0"/>
    <x v="2"/>
    <n v="3"/>
    <n v="1858.91"/>
    <n v="5576.73"/>
    <x v="6"/>
  </r>
  <r>
    <x v="170"/>
    <x v="9"/>
    <s v="Groceries"/>
    <x v="2"/>
    <x v="3"/>
    <n v="13"/>
    <n v="4526.55"/>
    <n v="58845.15"/>
    <x v="0"/>
  </r>
  <r>
    <x v="167"/>
    <x v="4"/>
    <s v="Groceries"/>
    <x v="2"/>
    <x v="2"/>
    <n v="12"/>
    <n v="3789.93"/>
    <n v="45479.16"/>
    <x v="1"/>
  </r>
  <r>
    <x v="34"/>
    <x v="5"/>
    <s v="Groceries"/>
    <x v="1"/>
    <x v="0"/>
    <n v="16"/>
    <n v="1946.01"/>
    <n v="31136.16"/>
    <x v="0"/>
  </r>
  <r>
    <x v="313"/>
    <x v="7"/>
    <s v="Food"/>
    <x v="0"/>
    <x v="3"/>
    <n v="15"/>
    <n v="712.79"/>
    <n v="10691.85"/>
    <x v="5"/>
  </r>
  <r>
    <x v="126"/>
    <x v="0"/>
    <s v="Beverage"/>
    <x v="3"/>
    <x v="1"/>
    <n v="16"/>
    <n v="935.91"/>
    <n v="14974.56"/>
    <x v="0"/>
  </r>
  <r>
    <x v="314"/>
    <x v="7"/>
    <s v="Food"/>
    <x v="0"/>
    <x v="2"/>
    <n v="12"/>
    <n v="834.87"/>
    <n v="10018.44"/>
    <x v="0"/>
  </r>
  <r>
    <x v="188"/>
    <x v="4"/>
    <s v="Groceries"/>
    <x v="3"/>
    <x v="0"/>
    <n v="19"/>
    <n v="5690.75"/>
    <n v="108124.25"/>
    <x v="3"/>
  </r>
  <r>
    <x v="245"/>
    <x v="4"/>
    <s v="Beverage"/>
    <x v="3"/>
    <x v="2"/>
    <n v="15"/>
    <n v="5351.32"/>
    <n v="80269.8"/>
    <x v="0"/>
  </r>
  <r>
    <x v="136"/>
    <x v="7"/>
    <s v="Beverage"/>
    <x v="1"/>
    <x v="0"/>
    <n v="11"/>
    <n v="693.37"/>
    <n v="7627.07"/>
    <x v="4"/>
  </r>
  <r>
    <x v="22"/>
    <x v="0"/>
    <s v="Groceries"/>
    <x v="3"/>
    <x v="0"/>
    <n v="12"/>
    <n v="1181.4000000000001"/>
    <n v="14176.8"/>
    <x v="5"/>
  </r>
  <r>
    <x v="295"/>
    <x v="1"/>
    <s v="Beverage"/>
    <x v="0"/>
    <x v="0"/>
    <n v="6"/>
    <n v="912.54"/>
    <n v="5475.24"/>
    <x v="6"/>
  </r>
  <r>
    <x v="52"/>
    <x v="9"/>
    <s v="Beverage"/>
    <x v="3"/>
    <x v="4"/>
    <n v="10"/>
    <n v="2773.23"/>
    <n v="27732.3"/>
    <x v="1"/>
  </r>
  <r>
    <x v="242"/>
    <x v="2"/>
    <s v="Groceries"/>
    <x v="3"/>
    <x v="0"/>
    <n v="7"/>
    <n v="587.83000000000004"/>
    <n v="4114.8100000000004"/>
    <x v="0"/>
  </r>
  <r>
    <x v="266"/>
    <x v="9"/>
    <s v="Beverage"/>
    <x v="3"/>
    <x v="0"/>
    <n v="19"/>
    <n v="4363.8100000000004"/>
    <n v="82912.39"/>
    <x v="2"/>
  </r>
  <r>
    <x v="313"/>
    <x v="8"/>
    <s v="Food"/>
    <x v="2"/>
    <x v="4"/>
    <n v="4"/>
    <n v="937.56"/>
    <n v="3750.24"/>
    <x v="5"/>
  </r>
  <r>
    <x v="79"/>
    <x v="5"/>
    <s v="Beverage"/>
    <x v="1"/>
    <x v="0"/>
    <n v="9"/>
    <n v="1275.79"/>
    <n v="11482.11"/>
    <x v="5"/>
  </r>
  <r>
    <x v="315"/>
    <x v="3"/>
    <s v="Groceries"/>
    <x v="0"/>
    <x v="4"/>
    <n v="19"/>
    <n v="1865.08"/>
    <n v="35436.519999999997"/>
    <x v="4"/>
  </r>
  <r>
    <x v="9"/>
    <x v="7"/>
    <s v="Beverage"/>
    <x v="3"/>
    <x v="4"/>
    <n v="3"/>
    <n v="776.83"/>
    <n v="2330.4899999999998"/>
    <x v="5"/>
  </r>
  <r>
    <x v="248"/>
    <x v="2"/>
    <s v="Food"/>
    <x v="0"/>
    <x v="3"/>
    <n v="15"/>
    <n v="641.91"/>
    <n v="9628.65"/>
    <x v="1"/>
  </r>
  <r>
    <x v="316"/>
    <x v="0"/>
    <s v="Beverage"/>
    <x v="1"/>
    <x v="4"/>
    <n v="10"/>
    <n v="1365.95"/>
    <n v="13659.5"/>
    <x v="6"/>
  </r>
  <r>
    <x v="171"/>
    <x v="3"/>
    <s v="Food"/>
    <x v="2"/>
    <x v="3"/>
    <n v="10"/>
    <n v="2143.71"/>
    <n v="21437.1"/>
    <x v="6"/>
  </r>
  <r>
    <x v="317"/>
    <x v="9"/>
    <s v="Groceries"/>
    <x v="3"/>
    <x v="4"/>
    <n v="1"/>
    <n v="2791.33"/>
    <n v="2791.33"/>
    <x v="0"/>
  </r>
  <r>
    <x v="133"/>
    <x v="3"/>
    <s v="Food"/>
    <x v="3"/>
    <x v="0"/>
    <n v="4"/>
    <n v="2578.5500000000002"/>
    <n v="10314.200000000001"/>
    <x v="4"/>
  </r>
  <r>
    <x v="282"/>
    <x v="4"/>
    <s v="Food"/>
    <x v="0"/>
    <x v="1"/>
    <n v="19"/>
    <n v="4386.3999999999996"/>
    <n v="83341.600000000006"/>
    <x v="3"/>
  </r>
  <r>
    <x v="121"/>
    <x v="4"/>
    <s v="Beverage"/>
    <x v="3"/>
    <x v="2"/>
    <n v="16"/>
    <n v="5175.0600000000004"/>
    <n v="82800.960000000006"/>
    <x v="4"/>
  </r>
  <r>
    <x v="90"/>
    <x v="0"/>
    <s v="Food"/>
    <x v="2"/>
    <x v="3"/>
    <n v="16"/>
    <n v="1262.3699999999999"/>
    <n v="20197.919999999998"/>
    <x v="4"/>
  </r>
  <r>
    <x v="73"/>
    <x v="9"/>
    <s v="Groceries"/>
    <x v="1"/>
    <x v="2"/>
    <n v="12"/>
    <n v="4190.17"/>
    <n v="50282.04"/>
    <x v="4"/>
  </r>
  <r>
    <x v="185"/>
    <x v="1"/>
    <s v="Food"/>
    <x v="0"/>
    <x v="1"/>
    <n v="1"/>
    <n v="804.47"/>
    <n v="804.47"/>
    <x v="5"/>
  </r>
  <r>
    <x v="17"/>
    <x v="5"/>
    <s v="Beverage"/>
    <x v="2"/>
    <x v="2"/>
    <n v="8"/>
    <n v="1771.52"/>
    <n v="14172.16"/>
    <x v="3"/>
  </r>
  <r>
    <x v="204"/>
    <x v="8"/>
    <s v="Beverage"/>
    <x v="0"/>
    <x v="1"/>
    <n v="10"/>
    <n v="988.77"/>
    <n v="9887.7000000000007"/>
    <x v="0"/>
  </r>
  <r>
    <x v="105"/>
    <x v="9"/>
    <s v="Beverage"/>
    <x v="0"/>
    <x v="4"/>
    <n v="12"/>
    <n v="4160.21"/>
    <n v="49922.52"/>
    <x v="0"/>
  </r>
  <r>
    <x v="132"/>
    <x v="8"/>
    <s v="Groceries"/>
    <x v="1"/>
    <x v="2"/>
    <n v="7"/>
    <n v="928.57"/>
    <n v="6499.99"/>
    <x v="2"/>
  </r>
  <r>
    <x v="318"/>
    <x v="7"/>
    <s v="Groceries"/>
    <x v="0"/>
    <x v="3"/>
    <n v="12"/>
    <n v="921.02"/>
    <n v="11052.24"/>
    <x v="6"/>
  </r>
  <r>
    <x v="308"/>
    <x v="6"/>
    <s v="Groceries"/>
    <x v="0"/>
    <x v="3"/>
    <n v="11"/>
    <n v="17937.07"/>
    <n v="197307.77"/>
    <x v="5"/>
  </r>
  <r>
    <x v="254"/>
    <x v="0"/>
    <s v="Food"/>
    <x v="1"/>
    <x v="1"/>
    <n v="2"/>
    <n v="1434.67"/>
    <n v="2869.34"/>
    <x v="2"/>
  </r>
  <r>
    <x v="77"/>
    <x v="1"/>
    <s v="Food"/>
    <x v="0"/>
    <x v="4"/>
    <n v="16"/>
    <n v="1097.8"/>
    <n v="17564.8"/>
    <x v="6"/>
  </r>
  <r>
    <x v="5"/>
    <x v="7"/>
    <s v="Groceries"/>
    <x v="2"/>
    <x v="4"/>
    <n v="13"/>
    <n v="953.41"/>
    <n v="12394.33"/>
    <x v="4"/>
  </r>
  <r>
    <x v="49"/>
    <x v="8"/>
    <s v="Beverage"/>
    <x v="2"/>
    <x v="0"/>
    <n v="10"/>
    <n v="1025.8"/>
    <n v="10258"/>
    <x v="0"/>
  </r>
  <r>
    <x v="203"/>
    <x v="5"/>
    <s v="Food"/>
    <x v="0"/>
    <x v="0"/>
    <n v="19"/>
    <n v="1718.06"/>
    <n v="32643.14"/>
    <x v="0"/>
  </r>
  <r>
    <x v="138"/>
    <x v="7"/>
    <s v="Beverage"/>
    <x v="3"/>
    <x v="1"/>
    <n v="19"/>
    <n v="984.11"/>
    <n v="18698.09"/>
    <x v="6"/>
  </r>
  <r>
    <x v="129"/>
    <x v="5"/>
    <s v="Beverage"/>
    <x v="3"/>
    <x v="2"/>
    <n v="19"/>
    <n v="1105.8399999999999"/>
    <n v="21010.959999999999"/>
    <x v="6"/>
  </r>
  <r>
    <x v="263"/>
    <x v="2"/>
    <s v="Groceries"/>
    <x v="3"/>
    <x v="1"/>
    <n v="3"/>
    <n v="736.09"/>
    <n v="2208.27"/>
    <x v="3"/>
  </r>
  <r>
    <x v="118"/>
    <x v="8"/>
    <s v="Food"/>
    <x v="0"/>
    <x v="3"/>
    <n v="9"/>
    <n v="1241.6600000000001"/>
    <n v="11174.94"/>
    <x v="6"/>
  </r>
  <r>
    <x v="319"/>
    <x v="8"/>
    <s v="Food"/>
    <x v="1"/>
    <x v="0"/>
    <n v="16"/>
    <n v="1205.3"/>
    <n v="19284.8"/>
    <x v="6"/>
  </r>
  <r>
    <x v="317"/>
    <x v="4"/>
    <s v="Food"/>
    <x v="3"/>
    <x v="3"/>
    <n v="14"/>
    <n v="5055.6899999999996"/>
    <n v="70779.66"/>
    <x v="0"/>
  </r>
  <r>
    <x v="315"/>
    <x v="9"/>
    <s v="Groceries"/>
    <x v="2"/>
    <x v="0"/>
    <n v="18"/>
    <n v="4398.91"/>
    <n v="79180.38"/>
    <x v="4"/>
  </r>
  <r>
    <x v="234"/>
    <x v="3"/>
    <s v="Groceries"/>
    <x v="3"/>
    <x v="4"/>
    <n v="19"/>
    <n v="2246.7199999999998"/>
    <n v="42687.68"/>
    <x v="6"/>
  </r>
  <r>
    <x v="158"/>
    <x v="4"/>
    <s v="Food"/>
    <x v="3"/>
    <x v="4"/>
    <n v="2"/>
    <n v="3624.28"/>
    <n v="7248.56"/>
    <x v="4"/>
  </r>
  <r>
    <x v="280"/>
    <x v="2"/>
    <s v="Groceries"/>
    <x v="1"/>
    <x v="1"/>
    <n v="13"/>
    <n v="481.02"/>
    <n v="6253.26"/>
    <x v="4"/>
  </r>
  <r>
    <x v="312"/>
    <x v="9"/>
    <s v="Beverage"/>
    <x v="0"/>
    <x v="3"/>
    <n v="2"/>
    <n v="3684.16"/>
    <n v="7368.32"/>
    <x v="6"/>
  </r>
  <r>
    <x v="252"/>
    <x v="3"/>
    <s v="Groceries"/>
    <x v="0"/>
    <x v="2"/>
    <n v="15"/>
    <n v="2405.58"/>
    <n v="36083.699999999997"/>
    <x v="2"/>
  </r>
  <r>
    <x v="94"/>
    <x v="4"/>
    <s v="Groceries"/>
    <x v="0"/>
    <x v="0"/>
    <n v="3"/>
    <n v="4474.7700000000004"/>
    <n v="13424.31"/>
    <x v="4"/>
  </r>
  <r>
    <x v="106"/>
    <x v="9"/>
    <s v="Food"/>
    <x v="3"/>
    <x v="4"/>
    <n v="1"/>
    <n v="3310.31"/>
    <n v="3310.31"/>
    <x v="0"/>
  </r>
  <r>
    <x v="15"/>
    <x v="5"/>
    <s v="Beverage"/>
    <x v="0"/>
    <x v="3"/>
    <n v="12"/>
    <n v="1707.78"/>
    <n v="20493.36"/>
    <x v="5"/>
  </r>
  <r>
    <x v="76"/>
    <x v="6"/>
    <s v="Groceries"/>
    <x v="3"/>
    <x v="0"/>
    <n v="17"/>
    <n v="19114.77"/>
    <n v="324951.09000000003"/>
    <x v="0"/>
  </r>
  <r>
    <x v="35"/>
    <x v="3"/>
    <s v="Groceries"/>
    <x v="0"/>
    <x v="1"/>
    <n v="16"/>
    <n v="2699.2"/>
    <n v="43187.199999999997"/>
    <x v="6"/>
  </r>
  <r>
    <x v="245"/>
    <x v="2"/>
    <s v="Groceries"/>
    <x v="0"/>
    <x v="1"/>
    <n v="8"/>
    <n v="465.93"/>
    <n v="3727.44"/>
    <x v="0"/>
  </r>
  <r>
    <x v="59"/>
    <x v="9"/>
    <s v="Groceries"/>
    <x v="0"/>
    <x v="0"/>
    <n v="11"/>
    <n v="3328.62"/>
    <n v="36614.82"/>
    <x v="1"/>
  </r>
  <r>
    <x v="41"/>
    <x v="3"/>
    <s v="Groceries"/>
    <x v="0"/>
    <x v="4"/>
    <n v="7"/>
    <n v="2580.21"/>
    <n v="18061.47"/>
    <x v="5"/>
  </r>
  <r>
    <x v="252"/>
    <x v="3"/>
    <s v="Groceries"/>
    <x v="0"/>
    <x v="0"/>
    <n v="10"/>
    <n v="2459.54"/>
    <n v="24595.4"/>
    <x v="2"/>
  </r>
  <r>
    <x v="6"/>
    <x v="9"/>
    <s v="Groceries"/>
    <x v="2"/>
    <x v="1"/>
    <n v="13"/>
    <n v="3316.05"/>
    <n v="43108.65"/>
    <x v="5"/>
  </r>
  <r>
    <x v="197"/>
    <x v="1"/>
    <s v="Food"/>
    <x v="2"/>
    <x v="4"/>
    <n v="5"/>
    <n v="1122.46"/>
    <n v="5612.3"/>
    <x v="2"/>
  </r>
  <r>
    <x v="119"/>
    <x v="6"/>
    <s v="Food"/>
    <x v="1"/>
    <x v="4"/>
    <n v="18"/>
    <n v="14239.63"/>
    <n v="256313.34"/>
    <x v="6"/>
  </r>
  <r>
    <x v="271"/>
    <x v="4"/>
    <s v="Food"/>
    <x v="1"/>
    <x v="1"/>
    <n v="11"/>
    <n v="5254.48"/>
    <n v="57799.28"/>
    <x v="1"/>
  </r>
  <r>
    <x v="237"/>
    <x v="7"/>
    <s v="Groceries"/>
    <x v="2"/>
    <x v="0"/>
    <n v="1"/>
    <n v="603.88"/>
    <n v="603.88"/>
    <x v="2"/>
  </r>
  <r>
    <x v="253"/>
    <x v="6"/>
    <s v="Food"/>
    <x v="3"/>
    <x v="1"/>
    <n v="3"/>
    <n v="18569.169999999998"/>
    <n v="55707.51"/>
    <x v="4"/>
  </r>
  <r>
    <x v="320"/>
    <x v="6"/>
    <s v="Beverage"/>
    <x v="0"/>
    <x v="3"/>
    <n v="16"/>
    <n v="15872.51"/>
    <n v="253960.16"/>
    <x v="4"/>
  </r>
  <r>
    <x v="181"/>
    <x v="4"/>
    <s v="Beverage"/>
    <x v="0"/>
    <x v="4"/>
    <n v="1"/>
    <n v="4482.26"/>
    <n v="4482.26"/>
    <x v="6"/>
  </r>
  <r>
    <x v="231"/>
    <x v="2"/>
    <s v="Groceries"/>
    <x v="1"/>
    <x v="3"/>
    <n v="13"/>
    <n v="631.67999999999995"/>
    <n v="8211.84"/>
    <x v="2"/>
  </r>
  <r>
    <x v="290"/>
    <x v="9"/>
    <s v="Food"/>
    <x v="3"/>
    <x v="0"/>
    <n v="7"/>
    <n v="3968.45"/>
    <n v="27779.15"/>
    <x v="3"/>
  </r>
  <r>
    <x v="115"/>
    <x v="4"/>
    <s v="Beverage"/>
    <x v="3"/>
    <x v="2"/>
    <n v="9"/>
    <n v="5314.52"/>
    <n v="47830.68"/>
    <x v="3"/>
  </r>
  <r>
    <x v="150"/>
    <x v="2"/>
    <s v="Food"/>
    <x v="2"/>
    <x v="4"/>
    <n v="4"/>
    <n v="515.76"/>
    <n v="2063.04"/>
    <x v="5"/>
  </r>
  <r>
    <x v="211"/>
    <x v="7"/>
    <s v="Food"/>
    <x v="3"/>
    <x v="1"/>
    <n v="5"/>
    <n v="831"/>
    <n v="4155"/>
    <x v="3"/>
  </r>
  <r>
    <x v="253"/>
    <x v="3"/>
    <s v="Food"/>
    <x v="2"/>
    <x v="2"/>
    <n v="10"/>
    <n v="2853.88"/>
    <n v="28538.799999999999"/>
    <x v="4"/>
  </r>
  <r>
    <x v="223"/>
    <x v="4"/>
    <s v="Groceries"/>
    <x v="3"/>
    <x v="4"/>
    <n v="11"/>
    <n v="4161.95"/>
    <n v="45781.45"/>
    <x v="2"/>
  </r>
  <r>
    <x v="31"/>
    <x v="0"/>
    <s v="Food"/>
    <x v="3"/>
    <x v="1"/>
    <n v="10"/>
    <n v="1496.44"/>
    <n v="14964.4"/>
    <x v="5"/>
  </r>
  <r>
    <x v="179"/>
    <x v="0"/>
    <s v="Groceries"/>
    <x v="1"/>
    <x v="2"/>
    <n v="7"/>
    <n v="1543.12"/>
    <n v="10801.84"/>
    <x v="3"/>
  </r>
  <r>
    <x v="139"/>
    <x v="5"/>
    <s v="Food"/>
    <x v="1"/>
    <x v="3"/>
    <n v="19"/>
    <n v="1847.66"/>
    <n v="35105.54"/>
    <x v="0"/>
  </r>
  <r>
    <x v="44"/>
    <x v="4"/>
    <s v="Groceries"/>
    <x v="1"/>
    <x v="2"/>
    <n v="12"/>
    <n v="3663.4"/>
    <n v="43960.800000000003"/>
    <x v="4"/>
  </r>
  <r>
    <x v="206"/>
    <x v="4"/>
    <s v="Food"/>
    <x v="1"/>
    <x v="2"/>
    <n v="10"/>
    <n v="5678.33"/>
    <n v="56783.3"/>
    <x v="5"/>
  </r>
  <r>
    <x v="134"/>
    <x v="1"/>
    <s v="Groceries"/>
    <x v="1"/>
    <x v="0"/>
    <n v="5"/>
    <n v="755.4"/>
    <n v="3777"/>
    <x v="4"/>
  </r>
  <r>
    <x v="23"/>
    <x v="7"/>
    <s v="Beverage"/>
    <x v="0"/>
    <x v="4"/>
    <n v="4"/>
    <n v="941.63"/>
    <n v="3766.52"/>
    <x v="2"/>
  </r>
  <r>
    <x v="109"/>
    <x v="5"/>
    <s v="Beverage"/>
    <x v="2"/>
    <x v="0"/>
    <n v="6"/>
    <n v="1627.41"/>
    <n v="9764.4599999999991"/>
    <x v="2"/>
  </r>
  <r>
    <x v="321"/>
    <x v="7"/>
    <s v="Food"/>
    <x v="2"/>
    <x v="0"/>
    <n v="8"/>
    <n v="599.54999999999995"/>
    <n v="4796.3999999999996"/>
    <x v="1"/>
  </r>
  <r>
    <x v="176"/>
    <x v="0"/>
    <s v="Groceries"/>
    <x v="1"/>
    <x v="4"/>
    <n v="13"/>
    <n v="1458.26"/>
    <n v="18957.38"/>
    <x v="3"/>
  </r>
  <r>
    <x v="163"/>
    <x v="1"/>
    <s v="Beverage"/>
    <x v="3"/>
    <x v="4"/>
    <n v="6"/>
    <n v="1002.77"/>
    <n v="6016.62"/>
    <x v="6"/>
  </r>
  <r>
    <x v="49"/>
    <x v="9"/>
    <s v="Food"/>
    <x v="1"/>
    <x v="4"/>
    <n v="17"/>
    <n v="3855.65"/>
    <n v="65546.05"/>
    <x v="0"/>
  </r>
  <r>
    <x v="271"/>
    <x v="1"/>
    <s v="Groceries"/>
    <x v="0"/>
    <x v="3"/>
    <n v="3"/>
    <n v="725.65"/>
    <n v="2176.9499999999998"/>
    <x v="1"/>
  </r>
  <r>
    <x v="223"/>
    <x v="7"/>
    <s v="Beverage"/>
    <x v="3"/>
    <x v="1"/>
    <n v="7"/>
    <n v="920.88"/>
    <n v="6446.16"/>
    <x v="2"/>
  </r>
  <r>
    <x v="180"/>
    <x v="7"/>
    <s v="Beverage"/>
    <x v="0"/>
    <x v="4"/>
    <n v="13"/>
    <n v="898.42"/>
    <n v="11679.46"/>
    <x v="4"/>
  </r>
  <r>
    <x v="8"/>
    <x v="2"/>
    <s v="Beverage"/>
    <x v="3"/>
    <x v="0"/>
    <n v="3"/>
    <n v="480.79"/>
    <n v="1442.37"/>
    <x v="1"/>
  </r>
  <r>
    <x v="258"/>
    <x v="5"/>
    <s v="Groceries"/>
    <x v="2"/>
    <x v="0"/>
    <n v="16"/>
    <n v="1814.19"/>
    <n v="29027.040000000001"/>
    <x v="4"/>
  </r>
  <r>
    <x v="107"/>
    <x v="5"/>
    <s v="Food"/>
    <x v="0"/>
    <x v="0"/>
    <n v="10"/>
    <n v="1544.02"/>
    <n v="15440.2"/>
    <x v="5"/>
  </r>
  <r>
    <x v="282"/>
    <x v="0"/>
    <s v="Food"/>
    <x v="2"/>
    <x v="0"/>
    <n v="17"/>
    <n v="1171.8499999999999"/>
    <n v="19921.45"/>
    <x v="3"/>
  </r>
  <r>
    <x v="298"/>
    <x v="7"/>
    <s v="Groceries"/>
    <x v="1"/>
    <x v="0"/>
    <n v="14"/>
    <n v="882.09"/>
    <n v="12349.26"/>
    <x v="4"/>
  </r>
  <r>
    <x v="43"/>
    <x v="6"/>
    <s v="Groceries"/>
    <x v="1"/>
    <x v="3"/>
    <n v="14"/>
    <n v="13434.97"/>
    <n v="188089.58"/>
    <x v="6"/>
  </r>
  <r>
    <x v="169"/>
    <x v="9"/>
    <s v="Groceries"/>
    <x v="0"/>
    <x v="3"/>
    <n v="4"/>
    <n v="2939.45"/>
    <n v="11757.8"/>
    <x v="1"/>
  </r>
  <r>
    <x v="169"/>
    <x v="7"/>
    <s v="Beverage"/>
    <x v="0"/>
    <x v="1"/>
    <n v="9"/>
    <n v="623.5"/>
    <n v="5611.5"/>
    <x v="1"/>
  </r>
  <r>
    <x v="279"/>
    <x v="0"/>
    <s v="Food"/>
    <x v="2"/>
    <x v="4"/>
    <n v="2"/>
    <n v="1105.78"/>
    <n v="2211.56"/>
    <x v="1"/>
  </r>
  <r>
    <x v="103"/>
    <x v="4"/>
    <s v="Food"/>
    <x v="1"/>
    <x v="3"/>
    <n v="7"/>
    <n v="6139.74"/>
    <n v="42978.18"/>
    <x v="0"/>
  </r>
  <r>
    <x v="64"/>
    <x v="4"/>
    <s v="Beverage"/>
    <x v="1"/>
    <x v="0"/>
    <n v="2"/>
    <n v="3720.09"/>
    <n v="7440.18"/>
    <x v="3"/>
  </r>
  <r>
    <x v="273"/>
    <x v="2"/>
    <s v="Beverage"/>
    <x v="2"/>
    <x v="2"/>
    <n v="3"/>
    <n v="742.22"/>
    <n v="2226.66"/>
    <x v="0"/>
  </r>
  <r>
    <x v="317"/>
    <x v="1"/>
    <s v="Food"/>
    <x v="0"/>
    <x v="4"/>
    <n v="16"/>
    <n v="768.59"/>
    <n v="12297.44"/>
    <x v="0"/>
  </r>
  <r>
    <x v="206"/>
    <x v="0"/>
    <s v="Food"/>
    <x v="0"/>
    <x v="3"/>
    <n v="6"/>
    <n v="1064.33"/>
    <n v="6385.98"/>
    <x v="5"/>
  </r>
  <r>
    <x v="256"/>
    <x v="8"/>
    <s v="Groceries"/>
    <x v="2"/>
    <x v="1"/>
    <n v="8"/>
    <n v="987.22"/>
    <n v="7897.76"/>
    <x v="3"/>
  </r>
  <r>
    <x v="322"/>
    <x v="3"/>
    <s v="Food"/>
    <x v="0"/>
    <x v="2"/>
    <n v="2"/>
    <n v="2001.72"/>
    <n v="4003.44"/>
    <x v="3"/>
  </r>
  <r>
    <x v="90"/>
    <x v="6"/>
    <s v="Beverage"/>
    <x v="0"/>
    <x v="4"/>
    <n v="1"/>
    <n v="16850.060000000001"/>
    <n v="16850.060000000001"/>
    <x v="4"/>
  </r>
  <r>
    <x v="73"/>
    <x v="0"/>
    <s v="Food"/>
    <x v="1"/>
    <x v="0"/>
    <n v="11"/>
    <n v="1375.7"/>
    <n v="15132.7"/>
    <x v="4"/>
  </r>
  <r>
    <x v="132"/>
    <x v="1"/>
    <s v="Food"/>
    <x v="0"/>
    <x v="2"/>
    <n v="6"/>
    <n v="688.34"/>
    <n v="4130.04"/>
    <x v="2"/>
  </r>
  <r>
    <x v="199"/>
    <x v="5"/>
    <s v="Beverage"/>
    <x v="1"/>
    <x v="4"/>
    <n v="13"/>
    <n v="1123.05"/>
    <n v="14599.65"/>
    <x v="3"/>
  </r>
  <r>
    <x v="310"/>
    <x v="6"/>
    <s v="Food"/>
    <x v="0"/>
    <x v="1"/>
    <n v="10"/>
    <n v="18397.07"/>
    <n v="183970.7"/>
    <x v="2"/>
  </r>
  <r>
    <x v="253"/>
    <x v="5"/>
    <s v="Beverage"/>
    <x v="0"/>
    <x v="3"/>
    <n v="2"/>
    <n v="1464.66"/>
    <n v="2929.32"/>
    <x v="4"/>
  </r>
  <r>
    <x v="303"/>
    <x v="5"/>
    <s v="Beverage"/>
    <x v="1"/>
    <x v="3"/>
    <n v="1"/>
    <n v="1847.85"/>
    <n v="1847.85"/>
    <x v="6"/>
  </r>
  <r>
    <x v="79"/>
    <x v="0"/>
    <s v="Beverage"/>
    <x v="0"/>
    <x v="1"/>
    <n v="14"/>
    <n v="1458.31"/>
    <n v="20416.34"/>
    <x v="5"/>
  </r>
  <r>
    <x v="247"/>
    <x v="1"/>
    <s v="Groceries"/>
    <x v="3"/>
    <x v="0"/>
    <n v="6"/>
    <n v="812.16"/>
    <n v="4872.96"/>
    <x v="3"/>
  </r>
  <r>
    <x v="180"/>
    <x v="6"/>
    <s v="Beverage"/>
    <x v="2"/>
    <x v="4"/>
    <n v="15"/>
    <n v="12164.28"/>
    <n v="182464.2"/>
    <x v="4"/>
  </r>
  <r>
    <x v="166"/>
    <x v="4"/>
    <s v="Groceries"/>
    <x v="3"/>
    <x v="0"/>
    <n v="11"/>
    <n v="6215.9"/>
    <n v="68374.899999999994"/>
    <x v="5"/>
  </r>
  <r>
    <x v="212"/>
    <x v="3"/>
    <s v="Food"/>
    <x v="0"/>
    <x v="3"/>
    <n v="17"/>
    <n v="2221.94"/>
    <n v="37772.980000000003"/>
    <x v="2"/>
  </r>
  <r>
    <x v="294"/>
    <x v="2"/>
    <s v="Beverage"/>
    <x v="0"/>
    <x v="0"/>
    <n v="12"/>
    <n v="427.47"/>
    <n v="5129.6400000000003"/>
    <x v="5"/>
  </r>
  <r>
    <x v="191"/>
    <x v="6"/>
    <s v="Food"/>
    <x v="2"/>
    <x v="1"/>
    <n v="1"/>
    <n v="19099.03"/>
    <n v="19099.03"/>
    <x v="1"/>
  </r>
  <r>
    <x v="167"/>
    <x v="8"/>
    <s v="Food"/>
    <x v="3"/>
    <x v="2"/>
    <n v="8"/>
    <n v="827.37"/>
    <n v="6618.96"/>
    <x v="1"/>
  </r>
  <r>
    <x v="59"/>
    <x v="0"/>
    <s v="Beverage"/>
    <x v="3"/>
    <x v="0"/>
    <n v="17"/>
    <n v="1430.13"/>
    <n v="24312.21"/>
    <x v="1"/>
  </r>
  <r>
    <x v="323"/>
    <x v="5"/>
    <s v="Food"/>
    <x v="0"/>
    <x v="2"/>
    <n v="15"/>
    <n v="1840.57"/>
    <n v="27608.55"/>
    <x v="1"/>
  </r>
  <r>
    <x v="277"/>
    <x v="5"/>
    <s v="Groceries"/>
    <x v="1"/>
    <x v="3"/>
    <n v="18"/>
    <n v="1329.28"/>
    <n v="23927.040000000001"/>
    <x v="3"/>
  </r>
  <r>
    <x v="288"/>
    <x v="9"/>
    <s v="Beverage"/>
    <x v="3"/>
    <x v="4"/>
    <n v="1"/>
    <n v="2777.12"/>
    <n v="2777.12"/>
    <x v="2"/>
  </r>
  <r>
    <x v="300"/>
    <x v="9"/>
    <s v="Groceries"/>
    <x v="1"/>
    <x v="1"/>
    <n v="1"/>
    <n v="2533.6"/>
    <n v="2533.6"/>
    <x v="1"/>
  </r>
  <r>
    <x v="91"/>
    <x v="1"/>
    <s v="Food"/>
    <x v="0"/>
    <x v="2"/>
    <n v="13"/>
    <n v="1090.58"/>
    <n v="14177.54"/>
    <x v="4"/>
  </r>
  <r>
    <x v="167"/>
    <x v="4"/>
    <s v="Food"/>
    <x v="2"/>
    <x v="3"/>
    <n v="1"/>
    <n v="5024.43"/>
    <n v="5024.43"/>
    <x v="1"/>
  </r>
  <r>
    <x v="2"/>
    <x v="5"/>
    <s v="Beverage"/>
    <x v="2"/>
    <x v="3"/>
    <n v="3"/>
    <n v="1614.9"/>
    <n v="4844.7"/>
    <x v="2"/>
  </r>
  <r>
    <x v="217"/>
    <x v="3"/>
    <s v="Food"/>
    <x v="2"/>
    <x v="4"/>
    <n v="7"/>
    <n v="3081.2"/>
    <n v="21568.400000000001"/>
    <x v="2"/>
  </r>
  <r>
    <x v="289"/>
    <x v="3"/>
    <s v="Groceries"/>
    <x v="0"/>
    <x v="4"/>
    <n v="1"/>
    <n v="2592.8000000000002"/>
    <n v="2592.8000000000002"/>
    <x v="5"/>
  </r>
  <r>
    <x v="210"/>
    <x v="9"/>
    <s v="Groceries"/>
    <x v="1"/>
    <x v="3"/>
    <n v="2"/>
    <n v="3896.5"/>
    <n v="7793"/>
    <x v="0"/>
  </r>
  <r>
    <x v="25"/>
    <x v="6"/>
    <s v="Food"/>
    <x v="1"/>
    <x v="0"/>
    <n v="15"/>
    <n v="13199.08"/>
    <n v="197986.2"/>
    <x v="2"/>
  </r>
  <r>
    <x v="189"/>
    <x v="2"/>
    <s v="Food"/>
    <x v="3"/>
    <x v="0"/>
    <n v="17"/>
    <n v="489.54"/>
    <n v="8322.18"/>
    <x v="6"/>
  </r>
  <r>
    <x v="324"/>
    <x v="3"/>
    <s v="Beverage"/>
    <x v="1"/>
    <x v="2"/>
    <n v="18"/>
    <n v="3075.53"/>
    <n v="55359.54"/>
    <x v="0"/>
  </r>
  <r>
    <x v="203"/>
    <x v="4"/>
    <s v="Groceries"/>
    <x v="3"/>
    <x v="3"/>
    <n v="1"/>
    <n v="6060.96"/>
    <n v="6060.96"/>
    <x v="0"/>
  </r>
  <r>
    <x v="69"/>
    <x v="8"/>
    <s v="Groceries"/>
    <x v="2"/>
    <x v="4"/>
    <n v="13"/>
    <n v="1027.29"/>
    <n v="13354.77"/>
    <x v="5"/>
  </r>
  <r>
    <x v="168"/>
    <x v="6"/>
    <s v="Food"/>
    <x v="3"/>
    <x v="1"/>
    <n v="2"/>
    <n v="14075.44"/>
    <n v="28150.880000000001"/>
    <x v="6"/>
  </r>
  <r>
    <x v="146"/>
    <x v="2"/>
    <s v="Food"/>
    <x v="3"/>
    <x v="4"/>
    <n v="17"/>
    <n v="478.21"/>
    <n v="8129.57"/>
    <x v="3"/>
  </r>
  <r>
    <x v="56"/>
    <x v="2"/>
    <s v="Beverage"/>
    <x v="0"/>
    <x v="1"/>
    <n v="18"/>
    <n v="738.41"/>
    <n v="13291.38"/>
    <x v="3"/>
  </r>
  <r>
    <x v="143"/>
    <x v="1"/>
    <s v="Food"/>
    <x v="2"/>
    <x v="3"/>
    <n v="10"/>
    <n v="719.76"/>
    <n v="7197.6"/>
    <x v="0"/>
  </r>
  <r>
    <x v="218"/>
    <x v="3"/>
    <s v="Food"/>
    <x v="2"/>
    <x v="4"/>
    <n v="4"/>
    <n v="3178.09"/>
    <n v="12712.36"/>
    <x v="3"/>
  </r>
  <r>
    <x v="325"/>
    <x v="4"/>
    <s v="Food"/>
    <x v="0"/>
    <x v="0"/>
    <n v="15"/>
    <n v="4149.74"/>
    <n v="62246.1"/>
    <x v="0"/>
  </r>
  <r>
    <x v="57"/>
    <x v="7"/>
    <s v="Beverage"/>
    <x v="3"/>
    <x v="3"/>
    <n v="14"/>
    <n v="1021.54"/>
    <n v="14301.56"/>
    <x v="1"/>
  </r>
  <r>
    <x v="284"/>
    <x v="8"/>
    <s v="Groceries"/>
    <x v="1"/>
    <x v="4"/>
    <n v="10"/>
    <n v="1032.1400000000001"/>
    <n v="10321.4"/>
    <x v="1"/>
  </r>
  <r>
    <x v="140"/>
    <x v="6"/>
    <s v="Groceries"/>
    <x v="0"/>
    <x v="0"/>
    <n v="17"/>
    <n v="18136.25"/>
    <n v="308316.25"/>
    <x v="4"/>
  </r>
  <r>
    <x v="242"/>
    <x v="2"/>
    <s v="Food"/>
    <x v="1"/>
    <x v="2"/>
    <n v="16"/>
    <n v="434.78"/>
    <n v="6956.48"/>
    <x v="0"/>
  </r>
  <r>
    <x v="225"/>
    <x v="6"/>
    <s v="Food"/>
    <x v="2"/>
    <x v="3"/>
    <n v="16"/>
    <n v="13987.2"/>
    <n v="223795.20000000001"/>
    <x v="1"/>
  </r>
  <r>
    <x v="326"/>
    <x v="5"/>
    <s v="Beverage"/>
    <x v="3"/>
    <x v="2"/>
    <n v="16"/>
    <n v="1645.53"/>
    <n v="26328.48"/>
    <x v="5"/>
  </r>
  <r>
    <x v="243"/>
    <x v="1"/>
    <s v="Beverage"/>
    <x v="1"/>
    <x v="4"/>
    <n v="13"/>
    <n v="835.46"/>
    <n v="10860.98"/>
    <x v="0"/>
  </r>
  <r>
    <x v="159"/>
    <x v="1"/>
    <s v="Groceries"/>
    <x v="1"/>
    <x v="2"/>
    <n v="17"/>
    <n v="1114.9000000000001"/>
    <n v="18953.3"/>
    <x v="0"/>
  </r>
  <r>
    <x v="145"/>
    <x v="6"/>
    <s v="Food"/>
    <x v="1"/>
    <x v="3"/>
    <n v="12"/>
    <n v="11611.05"/>
    <n v="139332.6"/>
    <x v="1"/>
  </r>
  <r>
    <x v="193"/>
    <x v="0"/>
    <s v="Beverage"/>
    <x v="1"/>
    <x v="4"/>
    <n v="15"/>
    <n v="1080.24"/>
    <n v="16203.6"/>
    <x v="3"/>
  </r>
  <r>
    <x v="171"/>
    <x v="3"/>
    <s v="Groceries"/>
    <x v="1"/>
    <x v="0"/>
    <n v="12"/>
    <n v="2801.3"/>
    <n v="33615.599999999999"/>
    <x v="6"/>
  </r>
  <r>
    <x v="1"/>
    <x v="7"/>
    <s v="Beverage"/>
    <x v="3"/>
    <x v="1"/>
    <n v="14"/>
    <n v="592.85"/>
    <n v="8299.9"/>
    <x v="1"/>
  </r>
  <r>
    <x v="64"/>
    <x v="0"/>
    <s v="Beverage"/>
    <x v="1"/>
    <x v="2"/>
    <n v="19"/>
    <n v="978.05"/>
    <n v="18582.95"/>
    <x v="3"/>
  </r>
  <r>
    <x v="298"/>
    <x v="7"/>
    <s v="Beverage"/>
    <x v="3"/>
    <x v="0"/>
    <n v="11"/>
    <n v="600.45000000000005"/>
    <n v="6604.95"/>
    <x v="4"/>
  </r>
  <r>
    <x v="37"/>
    <x v="8"/>
    <s v="Groceries"/>
    <x v="0"/>
    <x v="0"/>
    <n v="5"/>
    <n v="1123.96"/>
    <n v="5619.8"/>
    <x v="1"/>
  </r>
  <r>
    <x v="152"/>
    <x v="4"/>
    <s v="Groceries"/>
    <x v="0"/>
    <x v="1"/>
    <n v="6"/>
    <n v="4135.24"/>
    <n v="24811.439999999999"/>
    <x v="4"/>
  </r>
  <r>
    <x v="180"/>
    <x v="8"/>
    <s v="Food"/>
    <x v="0"/>
    <x v="3"/>
    <n v="3"/>
    <n v="883.76"/>
    <n v="2651.28"/>
    <x v="4"/>
  </r>
  <r>
    <x v="226"/>
    <x v="1"/>
    <s v="Beverage"/>
    <x v="3"/>
    <x v="3"/>
    <n v="9"/>
    <n v="1073.69"/>
    <n v="9663.2099999999991"/>
    <x v="2"/>
  </r>
  <r>
    <x v="187"/>
    <x v="7"/>
    <s v="Beverage"/>
    <x v="0"/>
    <x v="0"/>
    <n v="1"/>
    <n v="830.92"/>
    <n v="830.92"/>
    <x v="0"/>
  </r>
  <r>
    <x v="150"/>
    <x v="1"/>
    <s v="Food"/>
    <x v="1"/>
    <x v="3"/>
    <n v="4"/>
    <n v="944.65"/>
    <n v="3778.6"/>
    <x v="5"/>
  </r>
  <r>
    <x v="204"/>
    <x v="3"/>
    <s v="Food"/>
    <x v="1"/>
    <x v="3"/>
    <n v="6"/>
    <n v="2038.04"/>
    <n v="12228.24"/>
    <x v="0"/>
  </r>
  <r>
    <x v="327"/>
    <x v="4"/>
    <s v="Groceries"/>
    <x v="3"/>
    <x v="4"/>
    <n v="2"/>
    <n v="5085.97"/>
    <n v="10171.94"/>
    <x v="4"/>
  </r>
  <r>
    <x v="328"/>
    <x v="8"/>
    <s v="Beverage"/>
    <x v="2"/>
    <x v="2"/>
    <n v="16"/>
    <n v="811.47"/>
    <n v="12983.52"/>
    <x v="4"/>
  </r>
  <r>
    <x v="202"/>
    <x v="9"/>
    <s v="Beverage"/>
    <x v="2"/>
    <x v="1"/>
    <n v="12"/>
    <n v="3178.7"/>
    <n v="38144.400000000001"/>
    <x v="0"/>
  </r>
  <r>
    <x v="5"/>
    <x v="0"/>
    <s v="Groceries"/>
    <x v="0"/>
    <x v="4"/>
    <n v="1"/>
    <n v="1361.78"/>
    <n v="1361.78"/>
    <x v="4"/>
  </r>
  <r>
    <x v="2"/>
    <x v="9"/>
    <s v="Food"/>
    <x v="3"/>
    <x v="2"/>
    <n v="10"/>
    <n v="4383.13"/>
    <n v="43831.3"/>
    <x v="2"/>
  </r>
  <r>
    <x v="187"/>
    <x v="7"/>
    <s v="Beverage"/>
    <x v="1"/>
    <x v="0"/>
    <n v="10"/>
    <n v="882.92"/>
    <n v="8829.2000000000007"/>
    <x v="0"/>
  </r>
  <r>
    <x v="241"/>
    <x v="9"/>
    <s v="Food"/>
    <x v="2"/>
    <x v="4"/>
    <n v="18"/>
    <n v="2607.2800000000002"/>
    <n v="46931.040000000001"/>
    <x v="3"/>
  </r>
  <r>
    <x v="120"/>
    <x v="0"/>
    <s v="Beverage"/>
    <x v="0"/>
    <x v="3"/>
    <n v="14"/>
    <n v="1436.14"/>
    <n v="20105.96"/>
    <x v="0"/>
  </r>
  <r>
    <x v="289"/>
    <x v="1"/>
    <s v="Beverage"/>
    <x v="2"/>
    <x v="0"/>
    <n v="2"/>
    <n v="847.25"/>
    <n v="1694.5"/>
    <x v="5"/>
  </r>
  <r>
    <x v="329"/>
    <x v="5"/>
    <s v="Food"/>
    <x v="0"/>
    <x v="4"/>
    <n v="2"/>
    <n v="1286.17"/>
    <n v="2572.34"/>
    <x v="6"/>
  </r>
  <r>
    <x v="105"/>
    <x v="3"/>
    <s v="Groceries"/>
    <x v="0"/>
    <x v="3"/>
    <n v="18"/>
    <n v="2248.64"/>
    <n v="40475.519999999997"/>
    <x v="0"/>
  </r>
  <r>
    <x v="330"/>
    <x v="2"/>
    <s v="Food"/>
    <x v="1"/>
    <x v="2"/>
    <n v="10"/>
    <n v="565.53"/>
    <n v="5655.3"/>
    <x v="5"/>
  </r>
  <r>
    <x v="331"/>
    <x v="3"/>
    <s v="Beverage"/>
    <x v="1"/>
    <x v="2"/>
    <n v="1"/>
    <n v="2651.19"/>
    <n v="2651.19"/>
    <x v="1"/>
  </r>
  <r>
    <x v="332"/>
    <x v="4"/>
    <s v="Beverage"/>
    <x v="0"/>
    <x v="3"/>
    <n v="5"/>
    <n v="4370.13"/>
    <n v="21850.65"/>
    <x v="1"/>
  </r>
  <r>
    <x v="315"/>
    <x v="9"/>
    <s v="Food"/>
    <x v="3"/>
    <x v="3"/>
    <n v="8"/>
    <n v="2811.02"/>
    <n v="22488.16"/>
    <x v="4"/>
  </r>
  <r>
    <x v="235"/>
    <x v="8"/>
    <s v="Beverage"/>
    <x v="1"/>
    <x v="1"/>
    <n v="19"/>
    <n v="905.97"/>
    <n v="17213.43"/>
    <x v="2"/>
  </r>
  <r>
    <x v="61"/>
    <x v="2"/>
    <s v="Groceries"/>
    <x v="1"/>
    <x v="3"/>
    <n v="12"/>
    <n v="746.24"/>
    <n v="8954.8799999999992"/>
    <x v="4"/>
  </r>
  <r>
    <x v="20"/>
    <x v="3"/>
    <s v="Food"/>
    <x v="2"/>
    <x v="2"/>
    <n v="2"/>
    <n v="1765.83"/>
    <n v="3531.66"/>
    <x v="3"/>
  </r>
  <r>
    <x v="148"/>
    <x v="1"/>
    <s v="Groceries"/>
    <x v="3"/>
    <x v="2"/>
    <n v="9"/>
    <n v="849.46"/>
    <n v="7645.14"/>
    <x v="1"/>
  </r>
  <r>
    <x v="208"/>
    <x v="1"/>
    <s v="Food"/>
    <x v="2"/>
    <x v="1"/>
    <n v="14"/>
    <n v="797.23"/>
    <n v="11161.22"/>
    <x v="0"/>
  </r>
  <r>
    <x v="202"/>
    <x v="2"/>
    <s v="Groceries"/>
    <x v="0"/>
    <x v="2"/>
    <n v="3"/>
    <n v="528.35"/>
    <n v="1585.05"/>
    <x v="0"/>
  </r>
  <r>
    <x v="333"/>
    <x v="0"/>
    <s v="Food"/>
    <x v="1"/>
    <x v="4"/>
    <n v="4"/>
    <n v="1002.57"/>
    <n v="4010.28"/>
    <x v="1"/>
  </r>
  <r>
    <x v="106"/>
    <x v="8"/>
    <s v="Groceries"/>
    <x v="2"/>
    <x v="1"/>
    <n v="16"/>
    <n v="851.52"/>
    <n v="13624.32"/>
    <x v="0"/>
  </r>
  <r>
    <x v="167"/>
    <x v="5"/>
    <s v="Food"/>
    <x v="0"/>
    <x v="0"/>
    <n v="16"/>
    <n v="1357.68"/>
    <n v="21722.880000000001"/>
    <x v="1"/>
  </r>
  <r>
    <x v="334"/>
    <x v="0"/>
    <s v="Groceries"/>
    <x v="2"/>
    <x v="3"/>
    <n v="12"/>
    <n v="1160.99"/>
    <n v="13931.88"/>
    <x v="3"/>
  </r>
  <r>
    <x v="246"/>
    <x v="6"/>
    <s v="Food"/>
    <x v="3"/>
    <x v="1"/>
    <n v="3"/>
    <n v="11703.26"/>
    <n v="35109.78"/>
    <x v="2"/>
  </r>
  <r>
    <x v="39"/>
    <x v="5"/>
    <s v="Beverage"/>
    <x v="2"/>
    <x v="3"/>
    <n v="14"/>
    <n v="1139.31"/>
    <n v="15950.34"/>
    <x v="1"/>
  </r>
  <r>
    <x v="26"/>
    <x v="8"/>
    <s v="Food"/>
    <x v="0"/>
    <x v="4"/>
    <n v="8"/>
    <n v="1254.2"/>
    <n v="10033.6"/>
    <x v="1"/>
  </r>
  <r>
    <x v="327"/>
    <x v="1"/>
    <s v="Groceries"/>
    <x v="2"/>
    <x v="1"/>
    <n v="19"/>
    <n v="760.82"/>
    <n v="14455.58"/>
    <x v="4"/>
  </r>
  <r>
    <x v="115"/>
    <x v="9"/>
    <s v="Groceries"/>
    <x v="1"/>
    <x v="2"/>
    <n v="12"/>
    <n v="2951.93"/>
    <n v="35423.160000000003"/>
    <x v="3"/>
  </r>
  <r>
    <x v="218"/>
    <x v="7"/>
    <s v="Food"/>
    <x v="2"/>
    <x v="1"/>
    <n v="18"/>
    <n v="915.62"/>
    <n v="16481.16"/>
    <x v="3"/>
  </r>
  <r>
    <x v="12"/>
    <x v="4"/>
    <s v="Groceries"/>
    <x v="1"/>
    <x v="4"/>
    <n v="14"/>
    <n v="4681.2700000000004"/>
    <n v="65537.78"/>
    <x v="2"/>
  </r>
  <r>
    <x v="334"/>
    <x v="3"/>
    <s v="Groceries"/>
    <x v="3"/>
    <x v="3"/>
    <n v="16"/>
    <n v="1837.69"/>
    <n v="29403.040000000001"/>
    <x v="3"/>
  </r>
  <r>
    <x v="54"/>
    <x v="3"/>
    <s v="Beverage"/>
    <x v="2"/>
    <x v="3"/>
    <n v="17"/>
    <n v="2349.9699999999998"/>
    <n v="39949.49"/>
    <x v="4"/>
  </r>
  <r>
    <x v="122"/>
    <x v="2"/>
    <s v="Groceries"/>
    <x v="1"/>
    <x v="3"/>
    <n v="7"/>
    <n v="426"/>
    <n v="2982"/>
    <x v="5"/>
  </r>
  <r>
    <x v="2"/>
    <x v="5"/>
    <s v="Beverage"/>
    <x v="3"/>
    <x v="4"/>
    <n v="9"/>
    <n v="1576.77"/>
    <n v="14190.93"/>
    <x v="2"/>
  </r>
  <r>
    <x v="49"/>
    <x v="3"/>
    <s v="Food"/>
    <x v="3"/>
    <x v="0"/>
    <n v="11"/>
    <n v="2502.92"/>
    <n v="27532.12"/>
    <x v="0"/>
  </r>
  <r>
    <x v="260"/>
    <x v="6"/>
    <s v="Beverage"/>
    <x v="3"/>
    <x v="4"/>
    <n v="15"/>
    <n v="16956.259999999998"/>
    <n v="254343.9"/>
    <x v="4"/>
  </r>
  <r>
    <x v="335"/>
    <x v="0"/>
    <s v="Beverage"/>
    <x v="3"/>
    <x v="2"/>
    <n v="3"/>
    <n v="1341.96"/>
    <n v="4025.88"/>
    <x v="4"/>
  </r>
  <r>
    <x v="136"/>
    <x v="3"/>
    <s v="Food"/>
    <x v="1"/>
    <x v="2"/>
    <n v="17"/>
    <n v="1916.73"/>
    <n v="32584.41"/>
    <x v="4"/>
  </r>
  <r>
    <x v="249"/>
    <x v="0"/>
    <s v="Groceries"/>
    <x v="3"/>
    <x v="3"/>
    <n v="15"/>
    <n v="1432.35"/>
    <n v="21485.25"/>
    <x v="5"/>
  </r>
  <r>
    <x v="336"/>
    <x v="8"/>
    <s v="Food"/>
    <x v="0"/>
    <x v="4"/>
    <n v="18"/>
    <n v="1203.67"/>
    <n v="21666.06"/>
    <x v="1"/>
  </r>
  <r>
    <x v="263"/>
    <x v="3"/>
    <s v="Beverage"/>
    <x v="1"/>
    <x v="2"/>
    <n v="4"/>
    <n v="2823.07"/>
    <n v="11292.28"/>
    <x v="3"/>
  </r>
  <r>
    <x v="204"/>
    <x v="5"/>
    <s v="Food"/>
    <x v="3"/>
    <x v="1"/>
    <n v="4"/>
    <n v="1388.27"/>
    <n v="5553.08"/>
    <x v="0"/>
  </r>
  <r>
    <x v="126"/>
    <x v="8"/>
    <s v="Groceries"/>
    <x v="1"/>
    <x v="3"/>
    <n v="9"/>
    <n v="807.5"/>
    <n v="7267.5"/>
    <x v="0"/>
  </r>
  <r>
    <x v="115"/>
    <x v="9"/>
    <s v="Groceries"/>
    <x v="3"/>
    <x v="0"/>
    <n v="8"/>
    <n v="2711.76"/>
    <n v="21694.080000000002"/>
    <x v="3"/>
  </r>
  <r>
    <x v="18"/>
    <x v="8"/>
    <s v="Beverage"/>
    <x v="2"/>
    <x v="4"/>
    <n v="9"/>
    <n v="728.24"/>
    <n v="6554.16"/>
    <x v="2"/>
  </r>
  <r>
    <x v="300"/>
    <x v="4"/>
    <s v="Beverage"/>
    <x v="0"/>
    <x v="2"/>
    <n v="8"/>
    <n v="4785.0600000000004"/>
    <n v="38280.480000000003"/>
    <x v="1"/>
  </r>
  <r>
    <x v="12"/>
    <x v="7"/>
    <s v="Beverage"/>
    <x v="2"/>
    <x v="1"/>
    <n v="14"/>
    <n v="852.56"/>
    <n v="11935.84"/>
    <x v="2"/>
  </r>
  <r>
    <x v="71"/>
    <x v="6"/>
    <s v="Beverage"/>
    <x v="3"/>
    <x v="3"/>
    <n v="6"/>
    <n v="18679.79"/>
    <n v="112078.74"/>
    <x v="5"/>
  </r>
  <r>
    <x v="337"/>
    <x v="1"/>
    <s v="Groceries"/>
    <x v="2"/>
    <x v="2"/>
    <n v="16"/>
    <n v="1149.51"/>
    <n v="18392.16"/>
    <x v="6"/>
  </r>
  <r>
    <x v="310"/>
    <x v="4"/>
    <s v="Food"/>
    <x v="3"/>
    <x v="1"/>
    <n v="18"/>
    <n v="4472.99"/>
    <n v="80513.820000000007"/>
    <x v="2"/>
  </r>
  <r>
    <x v="338"/>
    <x v="7"/>
    <s v="Food"/>
    <x v="2"/>
    <x v="1"/>
    <n v="3"/>
    <n v="953.88"/>
    <n v="2861.64"/>
    <x v="6"/>
  </r>
  <r>
    <x v="144"/>
    <x v="4"/>
    <s v="Groceries"/>
    <x v="2"/>
    <x v="1"/>
    <n v="6"/>
    <n v="3691.7"/>
    <n v="22150.2"/>
    <x v="3"/>
  </r>
  <r>
    <x v="107"/>
    <x v="3"/>
    <s v="Food"/>
    <x v="3"/>
    <x v="0"/>
    <n v="13"/>
    <n v="2270.79"/>
    <n v="29520.27"/>
    <x v="5"/>
  </r>
  <r>
    <x v="28"/>
    <x v="6"/>
    <s v="Food"/>
    <x v="1"/>
    <x v="0"/>
    <n v="19"/>
    <n v="16617.34"/>
    <n v="315729.46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E4" firstHeaderRow="0" firstDataRow="1" firstDataCol="0"/>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5">
        <item x="1"/>
        <item x="3"/>
        <item x="2"/>
        <item x="0"/>
        <item t="default"/>
      </items>
    </pivotField>
    <pivotField showAll="0"/>
    <pivotField dataField="1" showAll="0"/>
    <pivotField showAll="0"/>
    <pivotField dataField="1" showAll="0"/>
    <pivotField numFmtId="172"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Quantity " fld="5" baseField="0" baseItem="1"/>
    <dataField name=" Product" fld="1" subtotal="count" baseField="0" baseItem="1"/>
    <dataField name="Sales Amount " fld="7" baseField="0" baseItem="2" numFmtId="166"/>
    <dataField name="Average of Sales Amount2" fld="7" subtotal="average" baseField="0" baseItem="3" numFmtId="166"/>
  </dataFields>
  <formats count="2">
    <format dxfId="11">
      <pivotArea outline="0" collapsedLevelsAreSubtotals="1" fieldPosition="0">
        <references count="1">
          <reference field="4294967294" count="1" selected="0">
            <x v="3"/>
          </reference>
        </references>
      </pivotArea>
    </format>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11:C21"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1">
        <item x="7"/>
        <item x="4"/>
        <item x="3"/>
        <item x="9"/>
        <item x="0"/>
        <item x="5"/>
        <item x="6"/>
        <item x="2"/>
        <item x="8"/>
        <item x="1"/>
        <item t="default"/>
      </items>
      <autoSortScope>
        <pivotArea dataOnly="0" outline="0" fieldPosition="0">
          <references count="1">
            <reference field="4294967294" count="1" selected="0">
              <x v="0"/>
            </reference>
          </references>
        </pivotArea>
      </autoSortScope>
    </pivotField>
    <pivotField showAll="0"/>
    <pivotField showAll="0">
      <items count="5">
        <item x="1"/>
        <item x="3"/>
        <item x="2"/>
        <item x="0"/>
        <item t="default"/>
      </items>
    </pivotField>
    <pivotField showAll="0"/>
    <pivotField showAll="0"/>
    <pivotField showAll="0"/>
    <pivotField dataField="1" showAll="0"/>
    <pivotField numFmtId="172" showAll="0" defaultSubtotal="0"/>
    <pivotField showAll="0" defaultSubtotal="0">
      <items count="14">
        <item x="0"/>
        <item x="1"/>
        <item x="2"/>
        <item x="3"/>
        <item x="4"/>
        <item x="5"/>
        <item x="6"/>
        <item x="7"/>
        <item x="8"/>
        <item x="9"/>
        <item x="10"/>
        <item x="11"/>
        <item x="12"/>
        <item x="13"/>
      </items>
    </pivotField>
  </pivotFields>
  <rowFields count="1">
    <field x="1"/>
  </rowFields>
  <rowItems count="10">
    <i>
      <x v="6"/>
    </i>
    <i>
      <x v="1"/>
    </i>
    <i>
      <x v="3"/>
    </i>
    <i>
      <x v="2"/>
    </i>
    <i>
      <x v="5"/>
    </i>
    <i>
      <x v="4"/>
    </i>
    <i>
      <x v="8"/>
    </i>
    <i>
      <x v="9"/>
    </i>
    <i>
      <x/>
    </i>
    <i>
      <x v="7"/>
    </i>
  </rowItems>
  <colItems count="1">
    <i/>
  </colItems>
  <dataFields count="1">
    <dataField name="Sales Amount " fld="7" baseField="1" baseItem="6" numFmtId="168"/>
  </dataFields>
  <formats count="8">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H3:I13"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dataField="1" showAll="0">
      <items count="11">
        <item x="7"/>
        <item x="4"/>
        <item x="3"/>
        <item x="9"/>
        <item x="0"/>
        <item x="5"/>
        <item x="6"/>
        <item x="2"/>
        <item x="8"/>
        <item x="1"/>
        <item t="default"/>
      </items>
    </pivotField>
    <pivotField showAll="0"/>
    <pivotField showAll="0">
      <items count="5">
        <item x="1"/>
        <item x="3"/>
        <item x="2"/>
        <item x="0"/>
        <item t="default"/>
      </items>
    </pivotField>
    <pivotField showAll="0"/>
    <pivotField showAll="0"/>
    <pivotField showAll="0"/>
    <pivotField showAll="0"/>
    <pivotField numFmtId="172" showAll="0" defaultSubtotal="0"/>
    <pivotField showAll="0" defaultSubtotal="0">
      <items count="14">
        <item x="0"/>
        <item x="1"/>
        <item x="2"/>
        <item x="3"/>
        <item x="4"/>
        <item x="5"/>
        <item x="6"/>
        <item x="7"/>
        <item x="8"/>
        <item x="9"/>
        <item x="10"/>
        <item x="11"/>
        <item x="12"/>
        <item x="13"/>
      </items>
    </pivotField>
  </pivotFields>
  <rowFields count="1">
    <field x="1"/>
  </rowFields>
  <rowItems count="10">
    <i>
      <x/>
    </i>
    <i>
      <x v="1"/>
    </i>
    <i>
      <x v="2"/>
    </i>
    <i>
      <x v="3"/>
    </i>
    <i>
      <x v="4"/>
    </i>
    <i>
      <x v="5"/>
    </i>
    <i>
      <x v="6"/>
    </i>
    <i>
      <x v="7"/>
    </i>
    <i>
      <x v="8"/>
    </i>
    <i>
      <x v="9"/>
    </i>
  </rowItems>
  <colItems count="1">
    <i/>
  </colItems>
  <dataFields count="1">
    <dataField name="Count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Region">
  <location ref="A46:B50"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1"/>
        <item x="3"/>
        <item x="2"/>
        <item x="0"/>
        <item t="default"/>
      </items>
    </pivotField>
    <pivotField showAll="0">
      <items count="6">
        <item x="3"/>
        <item x="2"/>
        <item x="0"/>
        <item x="1"/>
        <item x="4"/>
        <item t="default"/>
      </items>
    </pivotField>
    <pivotField showAll="0"/>
    <pivotField showAll="0"/>
    <pivotField dataField="1" showAll="0"/>
    <pivotField numFmtId="172" showAll="0" defaultSubtotal="0">
      <items count="7">
        <item x="6"/>
        <item x="1"/>
        <item x="3"/>
        <item x="5"/>
        <item x="0"/>
        <item x="4"/>
        <item x="2"/>
      </items>
    </pivotField>
    <pivotField showAll="0" defaultSubtotal="0">
      <items count="14">
        <item x="0"/>
        <item x="1"/>
        <item x="2"/>
        <item x="3"/>
        <item x="4"/>
        <item x="5"/>
        <item x="6"/>
        <item x="7"/>
        <item x="8"/>
        <item x="9"/>
        <item x="10"/>
        <item x="11"/>
        <item x="12"/>
        <item x="13"/>
      </items>
    </pivotField>
  </pivotFields>
  <rowFields count="1">
    <field x="3"/>
  </rowFields>
  <rowItems count="4">
    <i>
      <x/>
    </i>
    <i>
      <x v="1"/>
    </i>
    <i>
      <x v="2"/>
    </i>
    <i>
      <x v="3"/>
    </i>
  </rowItems>
  <colItems count="1">
    <i/>
  </colItems>
  <dataFields count="1">
    <dataField name="Revenue Generated   " fld="7"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Days">
  <location ref="A35:B42"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1"/>
        <item x="3"/>
        <item x="2"/>
        <item x="0"/>
        <item t="default"/>
      </items>
    </pivotField>
    <pivotField showAll="0">
      <items count="6">
        <item x="3"/>
        <item x="2"/>
        <item x="0"/>
        <item x="1"/>
        <item x="4"/>
        <item t="default"/>
      </items>
    </pivotField>
    <pivotField showAll="0"/>
    <pivotField showAll="0"/>
    <pivotField dataField="1" showAll="0"/>
    <pivotField axis="axisRow" numFmtId="172" showAll="0" defaultSubtotal="0">
      <items count="7">
        <item x="6"/>
        <item x="1"/>
        <item x="3"/>
        <item x="5"/>
        <item x="0"/>
        <item x="4"/>
        <item x="2"/>
      </items>
    </pivotField>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x v="6"/>
    </i>
  </rowItems>
  <colItems count="1">
    <i/>
  </colItems>
  <dataFields count="1">
    <dataField name="Sales Amount       " fld="7"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Month">
  <location ref="A19:B31" firstHeaderRow="1" firstDataRow="1" firstDataCol="1"/>
  <pivotFields count="1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1"/>
        <item x="3"/>
        <item x="2"/>
        <item x="0"/>
        <item t="default"/>
      </items>
    </pivotField>
    <pivotField showAll="0"/>
    <pivotField showAll="0"/>
    <pivotField showAll="0"/>
    <pivotField dataField="1" showAll="0"/>
    <pivotField numFmtId="172"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0"/>
  </rowFields>
  <rowItems count="12">
    <i>
      <x v="1"/>
    </i>
    <i>
      <x v="2"/>
    </i>
    <i>
      <x v="3"/>
    </i>
    <i>
      <x v="4"/>
    </i>
    <i>
      <x v="5"/>
    </i>
    <i>
      <x v="6"/>
    </i>
    <i>
      <x v="7"/>
    </i>
    <i>
      <x v="8"/>
    </i>
    <i>
      <x v="9"/>
    </i>
    <i>
      <x v="10"/>
    </i>
    <i>
      <x v="11"/>
    </i>
    <i>
      <x v="12"/>
    </i>
  </rowItems>
  <colItems count="1">
    <i/>
  </colItems>
  <dataFields count="1">
    <dataField name="Revenue Generated" fld="7"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Region">
  <location ref="A2:B6"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72" showAll="0" defaultSubtotal="0"/>
    <pivotField showAll="0" defaultSubtotal="0">
      <items count="14">
        <item x="0"/>
        <item x="1"/>
        <item x="2"/>
        <item x="3"/>
        <item x="4"/>
        <item x="5"/>
        <item x="6"/>
        <item x="7"/>
        <item x="8"/>
        <item x="9"/>
        <item x="10"/>
        <item x="11"/>
        <item x="12"/>
        <item x="13"/>
      </items>
    </pivotField>
  </pivotFields>
  <rowFields count="1">
    <field x="3"/>
  </rowFields>
  <rowItems count="4">
    <i>
      <x v="1"/>
    </i>
    <i>
      <x v="3"/>
    </i>
    <i>
      <x/>
    </i>
    <i>
      <x v="2"/>
    </i>
  </rowItems>
  <colItems count="1">
    <i/>
  </colItems>
  <dataFields count="1">
    <dataField name="Other Sales" fld="7"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Sales Rep">
  <location ref="A10:B15"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1"/>
        <item x="3"/>
        <item x="2"/>
        <item x="0"/>
        <item t="default"/>
      </items>
    </pivotField>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72" showAll="0" defaultSubtotal="0"/>
    <pivotField showAll="0" defaultSubtotal="0">
      <items count="14">
        <item x="0"/>
        <item x="1"/>
        <item x="2"/>
        <item x="3"/>
        <item x="4"/>
        <item x="5"/>
        <item x="6"/>
        <item x="7"/>
        <item x="8"/>
        <item x="9"/>
        <item x="10"/>
        <item x="11"/>
        <item x="12"/>
        <item x="13"/>
      </items>
    </pivotField>
  </pivotFields>
  <rowFields count="1">
    <field x="4"/>
  </rowFields>
  <rowItems count="5">
    <i>
      <x v="2"/>
    </i>
    <i>
      <x/>
    </i>
    <i>
      <x v="4"/>
    </i>
    <i>
      <x v="1"/>
    </i>
    <i>
      <x v="3"/>
    </i>
  </rowItems>
  <colItems count="1">
    <i/>
  </colItems>
  <dataFields count="1">
    <dataField name=" Sales Amount    " fld="7"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 tabId="5" name="PivotTable1"/>
    <pivotTable tabId="5" name="PivotTable2"/>
    <pivotTable tabId="5" name="PivotTable3"/>
    <pivotTable tabId="6" name="PivotTable2"/>
    <pivotTable tabId="6" name="PivotTable3"/>
    <pivotTable tabId="6" name="PivotTable22"/>
    <pivotTable tabId="6" name="PivotTable33"/>
  </pivotTables>
  <data>
    <tabular pivotCacheId="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Rep" sourceName="Sales Rep">
  <pivotTables>
    <pivotTable tabId="6" name="PivotTable2"/>
    <pivotTable tabId="6" name="PivotTable22"/>
    <pivotTable tabId="6" name="PivotTable33"/>
  </pivotTables>
  <data>
    <tabular pivotCacheId="1">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6" name="PivotTable22"/>
    <pivotTable tabId="5" name="PivotTable1"/>
    <pivotTable tabId="5" name="PivotTable2"/>
    <pivotTable tabId="5" name="PivotTable3"/>
    <pivotTable tabId="6" name="PivotTable1"/>
    <pivotTable tabId="6" name="PivotTable2"/>
    <pivotTable tabId="6" name="PivotTable3"/>
    <pivotTable tabId="6" name="PivotTable33"/>
  </pivotTables>
  <data>
    <tabular pivotCacheId="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showCaption="0" style="MY MONTH SLICER" rowHeight="914400"/>
  <slicer name="Sales Rep" cache="Slicer_Sales_Rep" caption="Sales Rep" columnCount="3" showCaption="0" style="MY MONTH SLICER" rowHeight="822960"/>
  <slicer name="Months" cache="Slicer_Months" caption="Months" columnCount="12" showCaption="0" style="MY MONTH SLICER" rowHeight="365760"/>
</slicers>
</file>

<file path=xl/tables/table1.xml><?xml version="1.0" encoding="utf-8"?>
<table xmlns="http://schemas.openxmlformats.org/spreadsheetml/2006/main" id="1" name="Table1" displayName="Table1" ref="A1:I1001" totalsRowShown="0">
  <autoFilter ref="A1:I1001"/>
  <tableColumns count="9">
    <tableColumn id="1" name="Date" dataDxfId="23"/>
    <tableColumn id="2" name="Product"/>
    <tableColumn id="3" name="Category"/>
    <tableColumn id="4" name="Region"/>
    <tableColumn id="5" name="Sales Rep"/>
    <tableColumn id="6" name="Quantity"/>
    <tableColumn id="7" name="Unit Price" dataDxfId="22"/>
    <tableColumn id="8" name="Sales Amount" dataDxfId="21"/>
    <tableColumn id="9" name="days" dataDxfId="20">
      <calculatedColumnFormula>WEEKDAY(Table1[[#This Row],[Date]],3)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3.bin"/><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I1" sqref="I1:I1048576"/>
    </sheetView>
  </sheetViews>
  <sheetFormatPr defaultRowHeight="14.4" x14ac:dyDescent="0.3"/>
  <cols>
    <col min="1" max="1" width="13.5546875" style="1" customWidth="1"/>
    <col min="2" max="2" width="16.77734375" customWidth="1"/>
    <col min="3" max="3" width="11.33203125" customWidth="1"/>
    <col min="4" max="5" width="13.21875" customWidth="1"/>
    <col min="6" max="6" width="12.33203125" customWidth="1"/>
    <col min="7" max="7" width="12.5546875" customWidth="1"/>
    <col min="8" max="8" width="16.33203125" customWidth="1"/>
    <col min="9" max="9" width="8.88671875" style="18"/>
  </cols>
  <sheetData>
    <row r="1" spans="1:9" x14ac:dyDescent="0.3">
      <c r="A1" s="1" t="s">
        <v>0</v>
      </c>
      <c r="B1" t="s">
        <v>1</v>
      </c>
      <c r="C1" t="s">
        <v>2</v>
      </c>
      <c r="D1" t="s">
        <v>3</v>
      </c>
      <c r="E1" t="s">
        <v>4</v>
      </c>
      <c r="F1" t="s">
        <v>5</v>
      </c>
      <c r="G1" t="s">
        <v>6</v>
      </c>
      <c r="H1" t="s">
        <v>7</v>
      </c>
      <c r="I1" s="18" t="s">
        <v>93</v>
      </c>
    </row>
    <row r="2" spans="1:9" x14ac:dyDescent="0.3">
      <c r="A2" s="1">
        <v>45394</v>
      </c>
      <c r="B2" t="s">
        <v>8</v>
      </c>
      <c r="C2" t="s">
        <v>9</v>
      </c>
      <c r="D2" t="s">
        <v>10</v>
      </c>
      <c r="E2" t="s">
        <v>11</v>
      </c>
      <c r="F2">
        <v>8</v>
      </c>
      <c r="G2" s="3">
        <v>1271.03</v>
      </c>
      <c r="H2" s="4">
        <v>10168.24</v>
      </c>
      <c r="I2" s="18">
        <f>WEEKDAY(Table1[[#This Row],[Date]],3)</f>
        <v>4</v>
      </c>
    </row>
    <row r="3" spans="1:9" x14ac:dyDescent="0.3">
      <c r="A3" s="1">
        <v>45394</v>
      </c>
      <c r="B3" t="s">
        <v>12</v>
      </c>
      <c r="C3" t="s">
        <v>13</v>
      </c>
      <c r="D3" t="s">
        <v>10</v>
      </c>
      <c r="E3" t="s">
        <v>11</v>
      </c>
      <c r="F3">
        <v>11</v>
      </c>
      <c r="G3" s="3">
        <v>1097.74</v>
      </c>
      <c r="H3" s="4">
        <v>12075.14</v>
      </c>
      <c r="I3" s="18">
        <f>WEEKDAY(Table1[[#This Row],[Date]],3)</f>
        <v>4</v>
      </c>
    </row>
    <row r="4" spans="1:9" x14ac:dyDescent="0.3">
      <c r="A4" s="1">
        <v>45391</v>
      </c>
      <c r="B4" t="s">
        <v>14</v>
      </c>
      <c r="C4" t="s">
        <v>13</v>
      </c>
      <c r="D4" t="s">
        <v>15</v>
      </c>
      <c r="E4" t="s">
        <v>16</v>
      </c>
      <c r="F4">
        <v>2</v>
      </c>
      <c r="G4" s="3">
        <v>679.92</v>
      </c>
      <c r="H4" s="4">
        <v>1359.84</v>
      </c>
      <c r="I4" s="18">
        <f>WEEKDAY(Table1[[#This Row],[Date]],3)</f>
        <v>1</v>
      </c>
    </row>
    <row r="5" spans="1:9" x14ac:dyDescent="0.3">
      <c r="A5" s="1">
        <v>45585</v>
      </c>
      <c r="B5" t="s">
        <v>17</v>
      </c>
      <c r="C5" t="s">
        <v>9</v>
      </c>
      <c r="D5" t="s">
        <v>18</v>
      </c>
      <c r="E5" t="s">
        <v>19</v>
      </c>
      <c r="F5">
        <v>12</v>
      </c>
      <c r="G5" s="3">
        <v>1784.59</v>
      </c>
      <c r="H5" s="4">
        <v>21415.08</v>
      </c>
      <c r="I5" s="18">
        <f>WEEKDAY(Table1[[#This Row],[Date]],3)</f>
        <v>6</v>
      </c>
    </row>
    <row r="6" spans="1:9" x14ac:dyDescent="0.3">
      <c r="A6" s="1">
        <v>45350</v>
      </c>
      <c r="B6" t="s">
        <v>12</v>
      </c>
      <c r="C6" t="s">
        <v>13</v>
      </c>
      <c r="D6" t="s">
        <v>15</v>
      </c>
      <c r="E6" t="s">
        <v>11</v>
      </c>
      <c r="F6">
        <v>12</v>
      </c>
      <c r="G6" s="3">
        <v>907.69</v>
      </c>
      <c r="H6" s="4">
        <v>10892.28</v>
      </c>
      <c r="I6" s="18">
        <f>WEEKDAY(Table1[[#This Row],[Date]],3)</f>
        <v>2</v>
      </c>
    </row>
    <row r="7" spans="1:9" x14ac:dyDescent="0.3">
      <c r="A7" s="1">
        <v>45611</v>
      </c>
      <c r="B7" t="s">
        <v>20</v>
      </c>
      <c r="C7" t="s">
        <v>13</v>
      </c>
      <c r="D7" t="s">
        <v>18</v>
      </c>
      <c r="E7" t="s">
        <v>11</v>
      </c>
      <c r="F7">
        <v>7</v>
      </c>
      <c r="G7" s="3">
        <v>4011.57</v>
      </c>
      <c r="H7" s="4">
        <v>28080.99</v>
      </c>
      <c r="I7" s="18">
        <f>WEEKDAY(Table1[[#This Row],[Date]],3)</f>
        <v>4</v>
      </c>
    </row>
    <row r="8" spans="1:9" x14ac:dyDescent="0.3">
      <c r="A8" s="1">
        <v>45458</v>
      </c>
      <c r="B8" t="s">
        <v>17</v>
      </c>
      <c r="C8" t="s">
        <v>9</v>
      </c>
      <c r="D8" t="s">
        <v>21</v>
      </c>
      <c r="E8" t="s">
        <v>22</v>
      </c>
      <c r="F8">
        <v>9</v>
      </c>
      <c r="G8" s="3">
        <v>1773.95</v>
      </c>
      <c r="H8" s="4">
        <v>15965.55</v>
      </c>
      <c r="I8" s="18">
        <f>WEEKDAY(Table1[[#This Row],[Date]],3)</f>
        <v>5</v>
      </c>
    </row>
    <row r="9" spans="1:9" x14ac:dyDescent="0.3">
      <c r="A9" s="1">
        <v>45631</v>
      </c>
      <c r="B9" t="s">
        <v>23</v>
      </c>
      <c r="C9" t="s">
        <v>9</v>
      </c>
      <c r="D9" t="s">
        <v>21</v>
      </c>
      <c r="E9" t="s">
        <v>11</v>
      </c>
      <c r="F9">
        <v>14</v>
      </c>
      <c r="G9" s="3">
        <v>1401.95</v>
      </c>
      <c r="H9" s="4">
        <v>19627.3</v>
      </c>
      <c r="I9" s="18">
        <f>WEEKDAY(Table1[[#This Row],[Date]],3)</f>
        <v>3</v>
      </c>
    </row>
    <row r="10" spans="1:9" x14ac:dyDescent="0.3">
      <c r="A10" s="1">
        <v>45341</v>
      </c>
      <c r="B10" t="s">
        <v>14</v>
      </c>
      <c r="C10" t="s">
        <v>24</v>
      </c>
      <c r="D10" t="s">
        <v>15</v>
      </c>
      <c r="E10" t="s">
        <v>22</v>
      </c>
      <c r="F10">
        <v>4</v>
      </c>
      <c r="G10" s="3">
        <v>486.55</v>
      </c>
      <c r="H10" s="4">
        <v>1946.2</v>
      </c>
      <c r="I10" s="18">
        <f>WEEKDAY(Table1[[#This Row],[Date]],3)</f>
        <v>0</v>
      </c>
    </row>
    <row r="11" spans="1:9" x14ac:dyDescent="0.3">
      <c r="A11" s="1">
        <v>45482</v>
      </c>
      <c r="B11" t="s">
        <v>17</v>
      </c>
      <c r="C11" t="s">
        <v>24</v>
      </c>
      <c r="D11" t="s">
        <v>21</v>
      </c>
      <c r="E11" t="s">
        <v>22</v>
      </c>
      <c r="F11">
        <v>10</v>
      </c>
      <c r="G11" s="3">
        <v>3092.24</v>
      </c>
      <c r="H11" s="4">
        <v>30922.400000000001</v>
      </c>
      <c r="I11" s="18">
        <f>WEEKDAY(Table1[[#This Row],[Date]],3)</f>
        <v>1</v>
      </c>
    </row>
    <row r="12" spans="1:9" x14ac:dyDescent="0.3">
      <c r="A12" s="1">
        <v>45561</v>
      </c>
      <c r="B12" t="s">
        <v>14</v>
      </c>
      <c r="C12" t="s">
        <v>24</v>
      </c>
      <c r="D12" t="s">
        <v>10</v>
      </c>
      <c r="E12" t="s">
        <v>19</v>
      </c>
      <c r="F12">
        <v>8</v>
      </c>
      <c r="G12" s="3">
        <v>724.03</v>
      </c>
      <c r="H12" s="4">
        <v>5792.24</v>
      </c>
      <c r="I12" s="18">
        <f>WEEKDAY(Table1[[#This Row],[Date]],3)</f>
        <v>3</v>
      </c>
    </row>
    <row r="13" spans="1:9" x14ac:dyDescent="0.3">
      <c r="A13" s="1">
        <v>45528</v>
      </c>
      <c r="B13" t="s">
        <v>17</v>
      </c>
      <c r="C13" t="s">
        <v>13</v>
      </c>
      <c r="D13" t="s">
        <v>18</v>
      </c>
      <c r="E13" t="s">
        <v>22</v>
      </c>
      <c r="F13">
        <v>13</v>
      </c>
      <c r="G13" s="3">
        <v>1961.39</v>
      </c>
      <c r="H13" s="4">
        <v>25498.07</v>
      </c>
      <c r="I13" s="18">
        <f>WEEKDAY(Table1[[#This Row],[Date]],3)</f>
        <v>5</v>
      </c>
    </row>
    <row r="14" spans="1:9" x14ac:dyDescent="0.3">
      <c r="A14" s="1">
        <v>45306</v>
      </c>
      <c r="B14" t="s">
        <v>25</v>
      </c>
      <c r="C14" t="s">
        <v>9</v>
      </c>
      <c r="D14" t="s">
        <v>10</v>
      </c>
      <c r="E14" t="s">
        <v>26</v>
      </c>
      <c r="F14">
        <v>1</v>
      </c>
      <c r="G14" s="3">
        <v>12288.44</v>
      </c>
      <c r="H14" s="4">
        <v>12288.44</v>
      </c>
      <c r="I14" s="18">
        <f>WEEKDAY(Table1[[#This Row],[Date]],3)</f>
        <v>0</v>
      </c>
    </row>
    <row r="15" spans="1:9" x14ac:dyDescent="0.3">
      <c r="A15" s="1">
        <v>45354</v>
      </c>
      <c r="B15" t="s">
        <v>27</v>
      </c>
      <c r="C15" t="s">
        <v>9</v>
      </c>
      <c r="D15" t="s">
        <v>21</v>
      </c>
      <c r="E15" t="s">
        <v>11</v>
      </c>
      <c r="F15">
        <v>3</v>
      </c>
      <c r="G15" s="3">
        <v>930.21</v>
      </c>
      <c r="H15" s="4">
        <v>2790.63</v>
      </c>
      <c r="I15" s="18">
        <f>WEEKDAY(Table1[[#This Row],[Date]],3)</f>
        <v>6</v>
      </c>
    </row>
    <row r="16" spans="1:9" x14ac:dyDescent="0.3">
      <c r="A16" s="1">
        <v>45552</v>
      </c>
      <c r="B16" t="s">
        <v>12</v>
      </c>
      <c r="C16" t="s">
        <v>13</v>
      </c>
      <c r="D16" t="s">
        <v>15</v>
      </c>
      <c r="E16" t="s">
        <v>26</v>
      </c>
      <c r="F16">
        <v>7</v>
      </c>
      <c r="G16" s="3">
        <v>1089.02</v>
      </c>
      <c r="H16" s="4">
        <v>7623.14</v>
      </c>
      <c r="I16" s="18">
        <f>WEEKDAY(Table1[[#This Row],[Date]],3)</f>
        <v>1</v>
      </c>
    </row>
    <row r="17" spans="1:9" x14ac:dyDescent="0.3">
      <c r="A17" s="1">
        <v>45559</v>
      </c>
      <c r="B17" t="s">
        <v>17</v>
      </c>
      <c r="C17" t="s">
        <v>9</v>
      </c>
      <c r="D17" t="s">
        <v>21</v>
      </c>
      <c r="E17" t="s">
        <v>16</v>
      </c>
      <c r="F17">
        <v>3</v>
      </c>
      <c r="G17" s="3">
        <v>2636.95</v>
      </c>
      <c r="H17" s="4">
        <v>7910.85</v>
      </c>
      <c r="I17" s="18">
        <f>WEEKDAY(Table1[[#This Row],[Date]],3)</f>
        <v>1</v>
      </c>
    </row>
    <row r="18" spans="1:9" x14ac:dyDescent="0.3">
      <c r="A18" s="1">
        <v>45505</v>
      </c>
      <c r="B18" t="s">
        <v>27</v>
      </c>
      <c r="C18" t="s">
        <v>9</v>
      </c>
      <c r="D18" t="s">
        <v>10</v>
      </c>
      <c r="E18" t="s">
        <v>16</v>
      </c>
      <c r="F18">
        <v>15</v>
      </c>
      <c r="G18" s="3">
        <v>902.36</v>
      </c>
      <c r="H18" s="4">
        <v>13535.4</v>
      </c>
      <c r="I18" s="18">
        <f>WEEKDAY(Table1[[#This Row],[Date]],3)</f>
        <v>3</v>
      </c>
    </row>
    <row r="19" spans="1:9" x14ac:dyDescent="0.3">
      <c r="A19" s="1">
        <v>45548</v>
      </c>
      <c r="B19" t="s">
        <v>28</v>
      </c>
      <c r="C19" t="s">
        <v>24</v>
      </c>
      <c r="D19" t="s">
        <v>10</v>
      </c>
      <c r="E19" t="s">
        <v>11</v>
      </c>
      <c r="F19">
        <v>9</v>
      </c>
      <c r="G19" s="3">
        <v>1126.4000000000001</v>
      </c>
      <c r="H19" s="4">
        <v>10137.6</v>
      </c>
      <c r="I19" s="18">
        <f>WEEKDAY(Table1[[#This Row],[Date]],3)</f>
        <v>4</v>
      </c>
    </row>
    <row r="20" spans="1:9" x14ac:dyDescent="0.3">
      <c r="A20" s="1">
        <v>45637</v>
      </c>
      <c r="B20" t="s">
        <v>12</v>
      </c>
      <c r="C20" t="s">
        <v>9</v>
      </c>
      <c r="D20" t="s">
        <v>10</v>
      </c>
      <c r="E20" t="s">
        <v>26</v>
      </c>
      <c r="F20">
        <v>4</v>
      </c>
      <c r="G20" s="3">
        <v>1120.0899999999999</v>
      </c>
      <c r="H20" s="4">
        <v>4480.3599999999997</v>
      </c>
      <c r="I20" s="18">
        <f>WEEKDAY(Table1[[#This Row],[Date]],3)</f>
        <v>2</v>
      </c>
    </row>
    <row r="21" spans="1:9" x14ac:dyDescent="0.3">
      <c r="A21" s="1">
        <v>45522</v>
      </c>
      <c r="B21" t="s">
        <v>8</v>
      </c>
      <c r="C21" t="s">
        <v>9</v>
      </c>
      <c r="D21" t="s">
        <v>21</v>
      </c>
      <c r="E21" t="s">
        <v>11</v>
      </c>
      <c r="F21">
        <v>19</v>
      </c>
      <c r="G21" s="3">
        <v>956.08</v>
      </c>
      <c r="H21" s="4">
        <v>18165.52</v>
      </c>
      <c r="I21" s="18">
        <f>WEEKDAY(Table1[[#This Row],[Date]],3)</f>
        <v>6</v>
      </c>
    </row>
    <row r="22" spans="1:9" x14ac:dyDescent="0.3">
      <c r="A22" s="1">
        <v>45357</v>
      </c>
      <c r="B22" t="s">
        <v>12</v>
      </c>
      <c r="C22" t="s">
        <v>9</v>
      </c>
      <c r="D22" t="s">
        <v>15</v>
      </c>
      <c r="E22" t="s">
        <v>26</v>
      </c>
      <c r="F22">
        <v>6</v>
      </c>
      <c r="G22" s="3">
        <v>876.53</v>
      </c>
      <c r="H22" s="4">
        <v>5259.18</v>
      </c>
      <c r="I22" s="18">
        <f>WEEKDAY(Table1[[#This Row],[Date]],3)</f>
        <v>2</v>
      </c>
    </row>
    <row r="23" spans="1:9" x14ac:dyDescent="0.3">
      <c r="A23" s="1">
        <v>45399</v>
      </c>
      <c r="B23" t="s">
        <v>8</v>
      </c>
      <c r="C23" t="s">
        <v>24</v>
      </c>
      <c r="D23" t="s">
        <v>15</v>
      </c>
      <c r="E23" t="s">
        <v>11</v>
      </c>
      <c r="F23">
        <v>7</v>
      </c>
      <c r="G23" s="3">
        <v>1492.92</v>
      </c>
      <c r="H23" s="4">
        <v>10450.44</v>
      </c>
      <c r="I23" s="18">
        <f>WEEKDAY(Table1[[#This Row],[Date]],3)</f>
        <v>2</v>
      </c>
    </row>
    <row r="24" spans="1:9" x14ac:dyDescent="0.3">
      <c r="A24" s="1">
        <v>45574</v>
      </c>
      <c r="B24" t="s">
        <v>20</v>
      </c>
      <c r="C24" t="s">
        <v>9</v>
      </c>
      <c r="D24" t="s">
        <v>18</v>
      </c>
      <c r="E24" t="s">
        <v>11</v>
      </c>
      <c r="F24">
        <v>7</v>
      </c>
      <c r="G24" s="3">
        <v>3993.97</v>
      </c>
      <c r="H24" s="4">
        <v>27957.79</v>
      </c>
      <c r="I24" s="18">
        <f>WEEKDAY(Table1[[#This Row],[Date]],3)</f>
        <v>2</v>
      </c>
    </row>
    <row r="25" spans="1:9" x14ac:dyDescent="0.3">
      <c r="A25" s="1">
        <v>45428</v>
      </c>
      <c r="B25" t="s">
        <v>28</v>
      </c>
      <c r="C25" t="s">
        <v>9</v>
      </c>
      <c r="D25" t="s">
        <v>10</v>
      </c>
      <c r="E25" t="s">
        <v>22</v>
      </c>
      <c r="F25">
        <v>12</v>
      </c>
      <c r="G25" s="3">
        <v>846.48</v>
      </c>
      <c r="H25" s="4">
        <v>10157.76</v>
      </c>
      <c r="I25" s="18">
        <f>WEEKDAY(Table1[[#This Row],[Date]],3)</f>
        <v>3</v>
      </c>
    </row>
    <row r="26" spans="1:9" x14ac:dyDescent="0.3">
      <c r="A26" s="1">
        <v>45606</v>
      </c>
      <c r="B26" t="s">
        <v>29</v>
      </c>
      <c r="C26" t="s">
        <v>9</v>
      </c>
      <c r="D26" t="s">
        <v>21</v>
      </c>
      <c r="E26" t="s">
        <v>26</v>
      </c>
      <c r="F26">
        <v>17</v>
      </c>
      <c r="G26" s="3">
        <v>2983.22</v>
      </c>
      <c r="H26" s="4">
        <v>50714.74</v>
      </c>
      <c r="I26" s="18">
        <f>WEEKDAY(Table1[[#This Row],[Date]],3)</f>
        <v>6</v>
      </c>
    </row>
    <row r="27" spans="1:9" x14ac:dyDescent="0.3">
      <c r="A27" s="1">
        <v>45559</v>
      </c>
      <c r="B27" t="s">
        <v>23</v>
      </c>
      <c r="C27" t="s">
        <v>24</v>
      </c>
      <c r="D27" t="s">
        <v>10</v>
      </c>
      <c r="E27" t="s">
        <v>26</v>
      </c>
      <c r="F27">
        <v>5</v>
      </c>
      <c r="G27" s="3">
        <v>1306.3599999999999</v>
      </c>
      <c r="H27" s="4">
        <v>6531.8</v>
      </c>
      <c r="I27" s="18">
        <f>WEEKDAY(Table1[[#This Row],[Date]],3)</f>
        <v>1</v>
      </c>
    </row>
    <row r="28" spans="1:9" x14ac:dyDescent="0.3">
      <c r="A28" s="1">
        <v>45372</v>
      </c>
      <c r="B28" t="s">
        <v>25</v>
      </c>
      <c r="C28" t="s">
        <v>24</v>
      </c>
      <c r="D28" t="s">
        <v>15</v>
      </c>
      <c r="E28" t="s">
        <v>19</v>
      </c>
      <c r="F28">
        <v>5</v>
      </c>
      <c r="G28" s="3">
        <v>13605.64</v>
      </c>
      <c r="H28" s="4">
        <v>68028.2</v>
      </c>
      <c r="I28" s="18">
        <f>WEEKDAY(Table1[[#This Row],[Date]],3)</f>
        <v>3</v>
      </c>
    </row>
    <row r="29" spans="1:9" x14ac:dyDescent="0.3">
      <c r="A29" s="1">
        <v>45417</v>
      </c>
      <c r="B29" t="s">
        <v>17</v>
      </c>
      <c r="C29" t="s">
        <v>9</v>
      </c>
      <c r="D29" t="s">
        <v>21</v>
      </c>
      <c r="E29" t="s">
        <v>22</v>
      </c>
      <c r="F29">
        <v>6</v>
      </c>
      <c r="G29" s="3">
        <v>2113.08</v>
      </c>
      <c r="H29" s="4">
        <v>12678.48</v>
      </c>
      <c r="I29" s="18">
        <f>WEEKDAY(Table1[[#This Row],[Date]],3)</f>
        <v>6</v>
      </c>
    </row>
    <row r="30" spans="1:9" x14ac:dyDescent="0.3">
      <c r="A30" s="1">
        <v>45615</v>
      </c>
      <c r="B30" t="s">
        <v>23</v>
      </c>
      <c r="C30" t="s">
        <v>13</v>
      </c>
      <c r="D30" t="s">
        <v>21</v>
      </c>
      <c r="E30" t="s">
        <v>11</v>
      </c>
      <c r="F30">
        <v>17</v>
      </c>
      <c r="G30" s="3">
        <v>1705.39</v>
      </c>
      <c r="H30" s="4">
        <v>28991.63</v>
      </c>
      <c r="I30" s="18">
        <f>WEEKDAY(Table1[[#This Row],[Date]],3)</f>
        <v>1</v>
      </c>
    </row>
    <row r="31" spans="1:9" x14ac:dyDescent="0.3">
      <c r="A31" s="1">
        <v>45571</v>
      </c>
      <c r="B31" t="s">
        <v>28</v>
      </c>
      <c r="C31" t="s">
        <v>24</v>
      </c>
      <c r="D31" t="s">
        <v>15</v>
      </c>
      <c r="E31" t="s">
        <v>11</v>
      </c>
      <c r="F31">
        <v>16</v>
      </c>
      <c r="G31" s="3">
        <v>1179.01</v>
      </c>
      <c r="H31" s="4">
        <v>18864.16</v>
      </c>
      <c r="I31" s="18">
        <f>WEEKDAY(Table1[[#This Row],[Date]],3)</f>
        <v>6</v>
      </c>
    </row>
    <row r="32" spans="1:9" x14ac:dyDescent="0.3">
      <c r="A32" s="1">
        <v>45492</v>
      </c>
      <c r="B32" t="s">
        <v>29</v>
      </c>
      <c r="C32" t="s">
        <v>9</v>
      </c>
      <c r="D32" t="s">
        <v>10</v>
      </c>
      <c r="E32" t="s">
        <v>19</v>
      </c>
      <c r="F32">
        <v>4</v>
      </c>
      <c r="G32" s="3">
        <v>2484.83</v>
      </c>
      <c r="H32" s="4">
        <v>9939.32</v>
      </c>
      <c r="I32" s="18">
        <f>WEEKDAY(Table1[[#This Row],[Date]],3)</f>
        <v>4</v>
      </c>
    </row>
    <row r="33" spans="1:9" x14ac:dyDescent="0.3">
      <c r="A33" s="1">
        <v>45438</v>
      </c>
      <c r="B33" t="s">
        <v>8</v>
      </c>
      <c r="C33" t="s">
        <v>13</v>
      </c>
      <c r="D33" t="s">
        <v>21</v>
      </c>
      <c r="E33" t="s">
        <v>26</v>
      </c>
      <c r="F33">
        <v>1</v>
      </c>
      <c r="G33" s="3">
        <v>1126.25</v>
      </c>
      <c r="H33" s="4">
        <v>1126.25</v>
      </c>
      <c r="I33" s="18">
        <f>WEEKDAY(Table1[[#This Row],[Date]],3)</f>
        <v>6</v>
      </c>
    </row>
    <row r="34" spans="1:9" x14ac:dyDescent="0.3">
      <c r="A34" s="1">
        <v>45330</v>
      </c>
      <c r="B34" t="s">
        <v>17</v>
      </c>
      <c r="C34" t="s">
        <v>9</v>
      </c>
      <c r="D34" t="s">
        <v>10</v>
      </c>
      <c r="E34" t="s">
        <v>19</v>
      </c>
      <c r="F34">
        <v>18</v>
      </c>
      <c r="G34" s="3">
        <v>3137.04</v>
      </c>
      <c r="H34" s="4">
        <v>56466.720000000001</v>
      </c>
      <c r="I34" s="18">
        <f>WEEKDAY(Table1[[#This Row],[Date]],3)</f>
        <v>3</v>
      </c>
    </row>
    <row r="35" spans="1:9" x14ac:dyDescent="0.3">
      <c r="A35" s="1">
        <v>45589</v>
      </c>
      <c r="B35" t="s">
        <v>27</v>
      </c>
      <c r="C35" t="s">
        <v>13</v>
      </c>
      <c r="D35" t="s">
        <v>21</v>
      </c>
      <c r="E35" t="s">
        <v>22</v>
      </c>
      <c r="F35">
        <v>16</v>
      </c>
      <c r="G35" s="3">
        <v>826.5</v>
      </c>
      <c r="H35" s="4">
        <v>13224</v>
      </c>
      <c r="I35" s="18">
        <f>WEEKDAY(Table1[[#This Row],[Date]],3)</f>
        <v>3</v>
      </c>
    </row>
    <row r="36" spans="1:9" x14ac:dyDescent="0.3">
      <c r="A36" s="1">
        <v>45351</v>
      </c>
      <c r="B36" t="s">
        <v>25</v>
      </c>
      <c r="C36" t="s">
        <v>24</v>
      </c>
      <c r="D36" t="s">
        <v>18</v>
      </c>
      <c r="E36" t="s">
        <v>19</v>
      </c>
      <c r="F36">
        <v>5</v>
      </c>
      <c r="G36" s="3">
        <v>18603.759999999998</v>
      </c>
      <c r="H36" s="4">
        <v>93018.8</v>
      </c>
      <c r="I36" s="18">
        <f>WEEKDAY(Table1[[#This Row],[Date]],3)</f>
        <v>3</v>
      </c>
    </row>
    <row r="37" spans="1:9" x14ac:dyDescent="0.3">
      <c r="A37" s="1">
        <v>45300</v>
      </c>
      <c r="B37" t="s">
        <v>20</v>
      </c>
      <c r="C37" t="s">
        <v>13</v>
      </c>
      <c r="D37" t="s">
        <v>10</v>
      </c>
      <c r="E37" t="s">
        <v>11</v>
      </c>
      <c r="F37">
        <v>1</v>
      </c>
      <c r="G37" s="3">
        <v>5426.09</v>
      </c>
      <c r="H37" s="4">
        <v>5426.09</v>
      </c>
      <c r="I37" s="18">
        <f>WEEKDAY(Table1[[#This Row],[Date]],3)</f>
        <v>1</v>
      </c>
    </row>
    <row r="38" spans="1:9" x14ac:dyDescent="0.3">
      <c r="A38" s="1">
        <v>45366</v>
      </c>
      <c r="B38" t="s">
        <v>25</v>
      </c>
      <c r="C38" t="s">
        <v>24</v>
      </c>
      <c r="D38" t="s">
        <v>21</v>
      </c>
      <c r="E38" t="s">
        <v>19</v>
      </c>
      <c r="F38">
        <v>3</v>
      </c>
      <c r="G38" s="3">
        <v>13850.54</v>
      </c>
      <c r="H38" s="4">
        <v>41551.620000000003</v>
      </c>
      <c r="I38" s="18">
        <f>WEEKDAY(Table1[[#This Row],[Date]],3)</f>
        <v>4</v>
      </c>
    </row>
    <row r="39" spans="1:9" x14ac:dyDescent="0.3">
      <c r="A39" s="1">
        <v>45390</v>
      </c>
      <c r="B39" t="s">
        <v>20</v>
      </c>
      <c r="C39" t="s">
        <v>9</v>
      </c>
      <c r="D39" t="s">
        <v>15</v>
      </c>
      <c r="E39" t="s">
        <v>22</v>
      </c>
      <c r="F39">
        <v>2</v>
      </c>
      <c r="G39" s="3">
        <v>5575.69</v>
      </c>
      <c r="H39" s="4">
        <v>11151.38</v>
      </c>
      <c r="I39" s="18">
        <f>WEEKDAY(Table1[[#This Row],[Date]],3)</f>
        <v>0</v>
      </c>
    </row>
    <row r="40" spans="1:9" x14ac:dyDescent="0.3">
      <c r="A40" s="1">
        <v>45499</v>
      </c>
      <c r="B40" t="s">
        <v>20</v>
      </c>
      <c r="C40" t="s">
        <v>9</v>
      </c>
      <c r="D40" t="s">
        <v>21</v>
      </c>
      <c r="E40" t="s">
        <v>26</v>
      </c>
      <c r="F40">
        <v>14</v>
      </c>
      <c r="G40" s="3">
        <v>4476.2</v>
      </c>
      <c r="H40" s="4">
        <v>62666.8</v>
      </c>
      <c r="I40" s="18">
        <f>WEEKDAY(Table1[[#This Row],[Date]],3)</f>
        <v>4</v>
      </c>
    </row>
    <row r="41" spans="1:9" x14ac:dyDescent="0.3">
      <c r="A41" s="1">
        <v>45426</v>
      </c>
      <c r="B41" t="s">
        <v>27</v>
      </c>
      <c r="C41" t="s">
        <v>9</v>
      </c>
      <c r="D41" t="s">
        <v>21</v>
      </c>
      <c r="E41" t="s">
        <v>26</v>
      </c>
      <c r="F41">
        <v>16</v>
      </c>
      <c r="G41" s="3">
        <v>604.96</v>
      </c>
      <c r="H41" s="4">
        <v>9679.36</v>
      </c>
      <c r="I41" s="18">
        <f>WEEKDAY(Table1[[#This Row],[Date]],3)</f>
        <v>1</v>
      </c>
    </row>
    <row r="42" spans="1:9" x14ac:dyDescent="0.3">
      <c r="A42" s="1">
        <v>45313</v>
      </c>
      <c r="B42" t="s">
        <v>29</v>
      </c>
      <c r="C42" t="s">
        <v>24</v>
      </c>
      <c r="D42" t="s">
        <v>18</v>
      </c>
      <c r="E42" t="s">
        <v>11</v>
      </c>
      <c r="F42">
        <v>8</v>
      </c>
      <c r="G42" s="3">
        <v>3775.39</v>
      </c>
      <c r="H42" s="4">
        <v>30203.119999999999</v>
      </c>
      <c r="I42" s="18">
        <f>WEEKDAY(Table1[[#This Row],[Date]],3)</f>
        <v>0</v>
      </c>
    </row>
    <row r="43" spans="1:9" x14ac:dyDescent="0.3">
      <c r="A43" s="1">
        <v>45517</v>
      </c>
      <c r="B43" t="s">
        <v>28</v>
      </c>
      <c r="C43" t="s">
        <v>24</v>
      </c>
      <c r="D43" t="s">
        <v>18</v>
      </c>
      <c r="E43" t="s">
        <v>19</v>
      </c>
      <c r="F43">
        <v>15</v>
      </c>
      <c r="G43" s="3">
        <v>995.51</v>
      </c>
      <c r="H43" s="4">
        <v>14932.65</v>
      </c>
      <c r="I43" s="18">
        <f>WEEKDAY(Table1[[#This Row],[Date]],3)</f>
        <v>1</v>
      </c>
    </row>
    <row r="44" spans="1:9" x14ac:dyDescent="0.3">
      <c r="A44" s="1">
        <v>45608</v>
      </c>
      <c r="B44" t="s">
        <v>27</v>
      </c>
      <c r="C44" t="s">
        <v>13</v>
      </c>
      <c r="D44" t="s">
        <v>21</v>
      </c>
      <c r="E44" t="s">
        <v>26</v>
      </c>
      <c r="F44">
        <v>17</v>
      </c>
      <c r="G44" s="3">
        <v>1037.3800000000001</v>
      </c>
      <c r="H44" s="4">
        <v>17635.46</v>
      </c>
      <c r="I44" s="18">
        <f>WEEKDAY(Table1[[#This Row],[Date]],3)</f>
        <v>1</v>
      </c>
    </row>
    <row r="45" spans="1:9" x14ac:dyDescent="0.3">
      <c r="A45" s="1">
        <v>45449</v>
      </c>
      <c r="B45" t="s">
        <v>28</v>
      </c>
      <c r="C45" t="s">
        <v>24</v>
      </c>
      <c r="D45" t="s">
        <v>10</v>
      </c>
      <c r="E45" t="s">
        <v>19</v>
      </c>
      <c r="F45">
        <v>9</v>
      </c>
      <c r="G45" s="3">
        <v>1271.8399999999999</v>
      </c>
      <c r="H45" s="4">
        <v>11446.56</v>
      </c>
      <c r="I45" s="18">
        <f>WEEKDAY(Table1[[#This Row],[Date]],3)</f>
        <v>3</v>
      </c>
    </row>
    <row r="46" spans="1:9" x14ac:dyDescent="0.3">
      <c r="A46" s="1">
        <v>45640</v>
      </c>
      <c r="B46" t="s">
        <v>25</v>
      </c>
      <c r="C46" t="s">
        <v>24</v>
      </c>
      <c r="D46" t="s">
        <v>18</v>
      </c>
      <c r="E46" t="s">
        <v>11</v>
      </c>
      <c r="F46">
        <v>1</v>
      </c>
      <c r="G46" s="3">
        <v>11178.12</v>
      </c>
      <c r="H46" s="4">
        <v>11178.12</v>
      </c>
      <c r="I46" s="18">
        <f>WEEKDAY(Table1[[#This Row],[Date]],3)</f>
        <v>5</v>
      </c>
    </row>
    <row r="47" spans="1:9" x14ac:dyDescent="0.3">
      <c r="A47" s="1">
        <v>45544</v>
      </c>
      <c r="B47" t="s">
        <v>28</v>
      </c>
      <c r="C47" t="s">
        <v>13</v>
      </c>
      <c r="D47" t="s">
        <v>18</v>
      </c>
      <c r="E47" t="s">
        <v>11</v>
      </c>
      <c r="F47">
        <v>18</v>
      </c>
      <c r="G47" s="3">
        <v>1034.08</v>
      </c>
      <c r="H47" s="4">
        <v>18613.439999999999</v>
      </c>
      <c r="I47" s="18">
        <f>WEEKDAY(Table1[[#This Row],[Date]],3)</f>
        <v>0</v>
      </c>
    </row>
    <row r="48" spans="1:9" x14ac:dyDescent="0.3">
      <c r="A48" s="1">
        <v>45514</v>
      </c>
      <c r="B48" t="s">
        <v>29</v>
      </c>
      <c r="C48" t="s">
        <v>24</v>
      </c>
      <c r="D48" t="s">
        <v>10</v>
      </c>
      <c r="E48" t="s">
        <v>22</v>
      </c>
      <c r="F48">
        <v>15</v>
      </c>
      <c r="G48" s="3">
        <v>4529.1099999999997</v>
      </c>
      <c r="H48" s="4">
        <v>67936.649999999994</v>
      </c>
      <c r="I48" s="18">
        <f>WEEKDAY(Table1[[#This Row],[Date]],3)</f>
        <v>5</v>
      </c>
    </row>
    <row r="49" spans="1:9" x14ac:dyDescent="0.3">
      <c r="A49" s="1">
        <v>45418</v>
      </c>
      <c r="B49" t="s">
        <v>12</v>
      </c>
      <c r="C49" t="s">
        <v>24</v>
      </c>
      <c r="D49" t="s">
        <v>15</v>
      </c>
      <c r="E49" t="s">
        <v>26</v>
      </c>
      <c r="F49">
        <v>8</v>
      </c>
      <c r="G49" s="3">
        <v>1006.39</v>
      </c>
      <c r="H49" s="4">
        <v>8051.12</v>
      </c>
      <c r="I49" s="18">
        <f>WEEKDAY(Table1[[#This Row],[Date]],3)</f>
        <v>0</v>
      </c>
    </row>
    <row r="50" spans="1:9" x14ac:dyDescent="0.3">
      <c r="A50" s="1">
        <v>45590</v>
      </c>
      <c r="B50" t="s">
        <v>29</v>
      </c>
      <c r="C50" t="s">
        <v>13</v>
      </c>
      <c r="D50" t="s">
        <v>18</v>
      </c>
      <c r="E50" t="s">
        <v>22</v>
      </c>
      <c r="F50">
        <v>3</v>
      </c>
      <c r="G50" s="3">
        <v>2988.03</v>
      </c>
      <c r="H50" s="4">
        <v>8964.09</v>
      </c>
      <c r="I50" s="18">
        <f>WEEKDAY(Table1[[#This Row],[Date]],3)</f>
        <v>4</v>
      </c>
    </row>
    <row r="51" spans="1:9" x14ac:dyDescent="0.3">
      <c r="A51" s="1">
        <v>45304</v>
      </c>
      <c r="B51" t="s">
        <v>12</v>
      </c>
      <c r="C51" t="s">
        <v>13</v>
      </c>
      <c r="D51" t="s">
        <v>18</v>
      </c>
      <c r="E51" t="s">
        <v>19</v>
      </c>
      <c r="F51">
        <v>13</v>
      </c>
      <c r="G51" s="3">
        <v>734.91</v>
      </c>
      <c r="H51" s="4">
        <v>9553.83</v>
      </c>
      <c r="I51" s="18">
        <f>WEEKDAY(Table1[[#This Row],[Date]],3)</f>
        <v>5</v>
      </c>
    </row>
    <row r="52" spans="1:9" x14ac:dyDescent="0.3">
      <c r="A52" s="1">
        <v>45555</v>
      </c>
      <c r="B52" t="s">
        <v>27</v>
      </c>
      <c r="C52" t="s">
        <v>13</v>
      </c>
      <c r="D52" t="s">
        <v>10</v>
      </c>
      <c r="E52" t="s">
        <v>19</v>
      </c>
      <c r="F52">
        <v>2</v>
      </c>
      <c r="G52" s="3">
        <v>605.11</v>
      </c>
      <c r="H52" s="4">
        <v>1210.22</v>
      </c>
      <c r="I52" s="18">
        <f>WEEKDAY(Table1[[#This Row],[Date]],3)</f>
        <v>4</v>
      </c>
    </row>
    <row r="53" spans="1:9" x14ac:dyDescent="0.3">
      <c r="A53" s="1">
        <v>45506</v>
      </c>
      <c r="B53" t="s">
        <v>29</v>
      </c>
      <c r="C53" t="s">
        <v>13</v>
      </c>
      <c r="D53" t="s">
        <v>18</v>
      </c>
      <c r="E53" t="s">
        <v>22</v>
      </c>
      <c r="F53">
        <v>17</v>
      </c>
      <c r="G53" s="3">
        <v>2528.4299999999998</v>
      </c>
      <c r="H53" s="4">
        <v>42983.31</v>
      </c>
      <c r="I53" s="18">
        <f>WEEKDAY(Table1[[#This Row],[Date]],3)</f>
        <v>4</v>
      </c>
    </row>
    <row r="54" spans="1:9" x14ac:dyDescent="0.3">
      <c r="A54" s="1">
        <v>45617</v>
      </c>
      <c r="B54" t="s">
        <v>29</v>
      </c>
      <c r="C54" t="s">
        <v>13</v>
      </c>
      <c r="D54" t="s">
        <v>21</v>
      </c>
      <c r="E54" t="s">
        <v>16</v>
      </c>
      <c r="F54">
        <v>1</v>
      </c>
      <c r="G54" s="3">
        <v>4188.5200000000004</v>
      </c>
      <c r="H54" s="4">
        <v>4188.5200000000004</v>
      </c>
      <c r="I54" s="18">
        <f>WEEKDAY(Table1[[#This Row],[Date]],3)</f>
        <v>3</v>
      </c>
    </row>
    <row r="55" spans="1:9" x14ac:dyDescent="0.3">
      <c r="A55" s="1">
        <v>45351</v>
      </c>
      <c r="B55" t="s">
        <v>28</v>
      </c>
      <c r="C55" t="s">
        <v>13</v>
      </c>
      <c r="D55" t="s">
        <v>21</v>
      </c>
      <c r="E55" t="s">
        <v>16</v>
      </c>
      <c r="F55">
        <v>15</v>
      </c>
      <c r="G55" s="3">
        <v>1119.71</v>
      </c>
      <c r="H55" s="4">
        <v>16795.650000000001</v>
      </c>
      <c r="I55" s="18">
        <f>WEEKDAY(Table1[[#This Row],[Date]],3)</f>
        <v>3</v>
      </c>
    </row>
    <row r="56" spans="1:9" x14ac:dyDescent="0.3">
      <c r="A56" s="1">
        <v>45599</v>
      </c>
      <c r="B56" t="s">
        <v>17</v>
      </c>
      <c r="C56" t="s">
        <v>24</v>
      </c>
      <c r="D56" t="s">
        <v>15</v>
      </c>
      <c r="E56" t="s">
        <v>11</v>
      </c>
      <c r="F56">
        <v>17</v>
      </c>
      <c r="G56" s="3">
        <v>2348.23</v>
      </c>
      <c r="H56" s="4">
        <v>39919.910000000003</v>
      </c>
      <c r="I56" s="18">
        <f>WEEKDAY(Table1[[#This Row],[Date]],3)</f>
        <v>6</v>
      </c>
    </row>
    <row r="57" spans="1:9" x14ac:dyDescent="0.3">
      <c r="A57" s="1">
        <v>45566</v>
      </c>
      <c r="B57" t="s">
        <v>12</v>
      </c>
      <c r="C57" t="s">
        <v>13</v>
      </c>
      <c r="D57" t="s">
        <v>15</v>
      </c>
      <c r="E57" t="s">
        <v>16</v>
      </c>
      <c r="F57">
        <v>9</v>
      </c>
      <c r="G57" s="3">
        <v>1001.79</v>
      </c>
      <c r="H57" s="4">
        <v>9016.11</v>
      </c>
      <c r="I57" s="18">
        <f>WEEKDAY(Table1[[#This Row],[Date]],3)</f>
        <v>1</v>
      </c>
    </row>
    <row r="58" spans="1:9" x14ac:dyDescent="0.3">
      <c r="A58" s="1">
        <v>45420</v>
      </c>
      <c r="B58" t="s">
        <v>12</v>
      </c>
      <c r="C58" t="s">
        <v>24</v>
      </c>
      <c r="D58" t="s">
        <v>18</v>
      </c>
      <c r="E58" t="s">
        <v>22</v>
      </c>
      <c r="F58">
        <v>16</v>
      </c>
      <c r="G58" s="3">
        <v>728.75</v>
      </c>
      <c r="H58" s="4">
        <v>11660</v>
      </c>
      <c r="I58" s="18">
        <f>WEEKDAY(Table1[[#This Row],[Date]],3)</f>
        <v>2</v>
      </c>
    </row>
    <row r="59" spans="1:9" x14ac:dyDescent="0.3">
      <c r="A59" s="1">
        <v>45528</v>
      </c>
      <c r="B59" t="s">
        <v>28</v>
      </c>
      <c r="C59" t="s">
        <v>9</v>
      </c>
      <c r="D59" t="s">
        <v>21</v>
      </c>
      <c r="E59" t="s">
        <v>16</v>
      </c>
      <c r="F59">
        <v>7</v>
      </c>
      <c r="G59" s="3">
        <v>1094.27</v>
      </c>
      <c r="H59" s="4">
        <v>7659.89</v>
      </c>
      <c r="I59" s="18">
        <f>WEEKDAY(Table1[[#This Row],[Date]],3)</f>
        <v>5</v>
      </c>
    </row>
    <row r="60" spans="1:9" x14ac:dyDescent="0.3">
      <c r="A60" s="1">
        <v>45360</v>
      </c>
      <c r="B60" t="s">
        <v>29</v>
      </c>
      <c r="C60" t="s">
        <v>9</v>
      </c>
      <c r="D60" t="s">
        <v>10</v>
      </c>
      <c r="E60" t="s">
        <v>11</v>
      </c>
      <c r="F60">
        <v>12</v>
      </c>
      <c r="G60" s="3">
        <v>3638.68</v>
      </c>
      <c r="H60" s="4">
        <v>43664.160000000003</v>
      </c>
      <c r="I60" s="18">
        <f>WEEKDAY(Table1[[#This Row],[Date]],3)</f>
        <v>5</v>
      </c>
    </row>
    <row r="61" spans="1:9" x14ac:dyDescent="0.3">
      <c r="A61" s="1">
        <v>45377</v>
      </c>
      <c r="B61" t="s">
        <v>20</v>
      </c>
      <c r="C61" t="s">
        <v>9</v>
      </c>
      <c r="D61" t="s">
        <v>15</v>
      </c>
      <c r="E61" t="s">
        <v>19</v>
      </c>
      <c r="F61">
        <v>5</v>
      </c>
      <c r="G61" s="3">
        <v>3782.47</v>
      </c>
      <c r="H61" s="4">
        <v>18912.349999999999</v>
      </c>
      <c r="I61" s="18">
        <f>WEEKDAY(Table1[[#This Row],[Date]],3)</f>
        <v>1</v>
      </c>
    </row>
    <row r="62" spans="1:9" x14ac:dyDescent="0.3">
      <c r="A62" s="1">
        <v>45385</v>
      </c>
      <c r="B62" t="s">
        <v>8</v>
      </c>
      <c r="C62" t="s">
        <v>9</v>
      </c>
      <c r="D62" t="s">
        <v>21</v>
      </c>
      <c r="E62" t="s">
        <v>22</v>
      </c>
      <c r="F62">
        <v>16</v>
      </c>
      <c r="G62" s="3">
        <v>1420.98</v>
      </c>
      <c r="H62" s="4">
        <v>22735.68</v>
      </c>
      <c r="I62" s="18">
        <f>WEEKDAY(Table1[[#This Row],[Date]],3)</f>
        <v>2</v>
      </c>
    </row>
    <row r="63" spans="1:9" x14ac:dyDescent="0.3">
      <c r="A63" s="1">
        <v>45391</v>
      </c>
      <c r="B63" t="s">
        <v>25</v>
      </c>
      <c r="C63" t="s">
        <v>24</v>
      </c>
      <c r="D63" t="s">
        <v>15</v>
      </c>
      <c r="E63" t="s">
        <v>16</v>
      </c>
      <c r="F63">
        <v>10</v>
      </c>
      <c r="G63" s="3">
        <v>19042.310000000001</v>
      </c>
      <c r="H63" s="4">
        <v>190423.1</v>
      </c>
      <c r="I63" s="18">
        <f>WEEKDAY(Table1[[#This Row],[Date]],3)</f>
        <v>1</v>
      </c>
    </row>
    <row r="64" spans="1:9" x14ac:dyDescent="0.3">
      <c r="A64" s="1">
        <v>45391</v>
      </c>
      <c r="B64" t="s">
        <v>17</v>
      </c>
      <c r="C64" t="s">
        <v>13</v>
      </c>
      <c r="D64" t="s">
        <v>15</v>
      </c>
      <c r="E64" t="s">
        <v>22</v>
      </c>
      <c r="F64">
        <v>19</v>
      </c>
      <c r="G64" s="3">
        <v>2504.6999999999998</v>
      </c>
      <c r="H64" s="4">
        <v>47589.3</v>
      </c>
      <c r="I64" s="18">
        <f>WEEKDAY(Table1[[#This Row],[Date]],3)</f>
        <v>1</v>
      </c>
    </row>
    <row r="65" spans="1:9" x14ac:dyDescent="0.3">
      <c r="A65" s="1">
        <v>45548</v>
      </c>
      <c r="B65" t="s">
        <v>14</v>
      </c>
      <c r="C65" t="s">
        <v>9</v>
      </c>
      <c r="D65" t="s">
        <v>18</v>
      </c>
      <c r="E65" t="s">
        <v>19</v>
      </c>
      <c r="F65">
        <v>16</v>
      </c>
      <c r="G65" s="3">
        <v>445.4</v>
      </c>
      <c r="H65" s="4">
        <v>7126.4</v>
      </c>
      <c r="I65" s="18">
        <f>WEEKDAY(Table1[[#This Row],[Date]],3)</f>
        <v>4</v>
      </c>
    </row>
    <row r="66" spans="1:9" x14ac:dyDescent="0.3">
      <c r="A66" s="1">
        <v>45538</v>
      </c>
      <c r="B66" t="s">
        <v>17</v>
      </c>
      <c r="C66" t="s">
        <v>9</v>
      </c>
      <c r="D66" t="s">
        <v>21</v>
      </c>
      <c r="E66" t="s">
        <v>11</v>
      </c>
      <c r="F66">
        <v>12</v>
      </c>
      <c r="G66" s="3">
        <v>2332.25</v>
      </c>
      <c r="H66" s="4">
        <v>27987</v>
      </c>
      <c r="I66" s="18">
        <f>WEEKDAY(Table1[[#This Row],[Date]],3)</f>
        <v>1</v>
      </c>
    </row>
    <row r="67" spans="1:9" x14ac:dyDescent="0.3">
      <c r="A67" s="1">
        <v>45324</v>
      </c>
      <c r="B67" t="s">
        <v>25</v>
      </c>
      <c r="C67" t="s">
        <v>9</v>
      </c>
      <c r="D67" t="s">
        <v>10</v>
      </c>
      <c r="E67" t="s">
        <v>11</v>
      </c>
      <c r="F67">
        <v>5</v>
      </c>
      <c r="G67" s="3">
        <v>16133.46</v>
      </c>
      <c r="H67" s="4">
        <v>80667.3</v>
      </c>
      <c r="I67" s="18">
        <f>WEEKDAY(Table1[[#This Row],[Date]],3)</f>
        <v>4</v>
      </c>
    </row>
    <row r="68" spans="1:9" x14ac:dyDescent="0.3">
      <c r="A68" s="1">
        <v>45356</v>
      </c>
      <c r="B68" t="s">
        <v>25</v>
      </c>
      <c r="C68" t="s">
        <v>24</v>
      </c>
      <c r="D68" t="s">
        <v>10</v>
      </c>
      <c r="E68" t="s">
        <v>19</v>
      </c>
      <c r="F68">
        <v>13</v>
      </c>
      <c r="G68" s="3">
        <v>12431.3</v>
      </c>
      <c r="H68" s="4">
        <v>161606.9</v>
      </c>
      <c r="I68" s="18">
        <f>WEEKDAY(Table1[[#This Row],[Date]],3)</f>
        <v>1</v>
      </c>
    </row>
    <row r="69" spans="1:9" x14ac:dyDescent="0.3">
      <c r="A69" s="1">
        <v>45593</v>
      </c>
      <c r="B69" t="s">
        <v>17</v>
      </c>
      <c r="C69" t="s">
        <v>9</v>
      </c>
      <c r="D69" t="s">
        <v>10</v>
      </c>
      <c r="E69" t="s">
        <v>22</v>
      </c>
      <c r="F69">
        <v>3</v>
      </c>
      <c r="G69" s="3">
        <v>2254.83</v>
      </c>
      <c r="H69" s="4">
        <v>6764.49</v>
      </c>
      <c r="I69" s="18">
        <f>WEEKDAY(Table1[[#This Row],[Date]],3)</f>
        <v>0</v>
      </c>
    </row>
    <row r="70" spans="1:9" x14ac:dyDescent="0.3">
      <c r="A70" s="1">
        <v>45381</v>
      </c>
      <c r="B70" t="s">
        <v>14</v>
      </c>
      <c r="C70" t="s">
        <v>9</v>
      </c>
      <c r="D70" t="s">
        <v>15</v>
      </c>
      <c r="E70" t="s">
        <v>22</v>
      </c>
      <c r="F70">
        <v>2</v>
      </c>
      <c r="G70" s="3">
        <v>513.85</v>
      </c>
      <c r="H70" s="4">
        <v>1027.7</v>
      </c>
      <c r="I70" s="18">
        <f>WEEKDAY(Table1[[#This Row],[Date]],3)</f>
        <v>5</v>
      </c>
    </row>
    <row r="71" spans="1:9" x14ac:dyDescent="0.3">
      <c r="A71" s="1">
        <v>45487</v>
      </c>
      <c r="B71" t="s">
        <v>12</v>
      </c>
      <c r="C71" t="s">
        <v>9</v>
      </c>
      <c r="D71" t="s">
        <v>15</v>
      </c>
      <c r="E71" t="s">
        <v>16</v>
      </c>
      <c r="F71">
        <v>11</v>
      </c>
      <c r="G71" s="3">
        <v>1103.83</v>
      </c>
      <c r="H71" s="4">
        <v>12142.13</v>
      </c>
      <c r="I71" s="18">
        <f>WEEKDAY(Table1[[#This Row],[Date]],3)</f>
        <v>6</v>
      </c>
    </row>
    <row r="72" spans="1:9" x14ac:dyDescent="0.3">
      <c r="A72" s="1">
        <v>45508</v>
      </c>
      <c r="B72" t="s">
        <v>28</v>
      </c>
      <c r="C72" t="s">
        <v>9</v>
      </c>
      <c r="D72" t="s">
        <v>18</v>
      </c>
      <c r="E72" t="s">
        <v>19</v>
      </c>
      <c r="F72">
        <v>10</v>
      </c>
      <c r="G72" s="3">
        <v>954.08</v>
      </c>
      <c r="H72" s="4">
        <v>9540.7999999999993</v>
      </c>
      <c r="I72" s="18">
        <f>WEEKDAY(Table1[[#This Row],[Date]],3)</f>
        <v>6</v>
      </c>
    </row>
    <row r="73" spans="1:9" x14ac:dyDescent="0.3">
      <c r="A73" s="1">
        <v>45483</v>
      </c>
      <c r="B73" t="s">
        <v>27</v>
      </c>
      <c r="C73" t="s">
        <v>9</v>
      </c>
      <c r="D73" t="s">
        <v>10</v>
      </c>
      <c r="E73" t="s">
        <v>19</v>
      </c>
      <c r="F73">
        <v>18</v>
      </c>
      <c r="G73" s="3">
        <v>680.01</v>
      </c>
      <c r="H73" s="4">
        <v>12240.18</v>
      </c>
      <c r="I73" s="18">
        <f>WEEKDAY(Table1[[#This Row],[Date]],3)</f>
        <v>2</v>
      </c>
    </row>
    <row r="74" spans="1:9" x14ac:dyDescent="0.3">
      <c r="A74" s="1">
        <v>45387</v>
      </c>
      <c r="B74" t="s">
        <v>14</v>
      </c>
      <c r="C74" t="s">
        <v>13</v>
      </c>
      <c r="D74" t="s">
        <v>15</v>
      </c>
      <c r="E74" t="s">
        <v>16</v>
      </c>
      <c r="F74">
        <v>12</v>
      </c>
      <c r="G74" s="3">
        <v>574.44000000000005</v>
      </c>
      <c r="H74" s="4">
        <v>6893.28</v>
      </c>
      <c r="I74" s="18">
        <f>WEEKDAY(Table1[[#This Row],[Date]],3)</f>
        <v>4</v>
      </c>
    </row>
    <row r="75" spans="1:9" x14ac:dyDescent="0.3">
      <c r="A75" s="1">
        <v>45304</v>
      </c>
      <c r="B75" t="s">
        <v>23</v>
      </c>
      <c r="C75" t="s">
        <v>9</v>
      </c>
      <c r="D75" t="s">
        <v>10</v>
      </c>
      <c r="E75" t="s">
        <v>26</v>
      </c>
      <c r="F75">
        <v>17</v>
      </c>
      <c r="G75" s="3">
        <v>1530.89</v>
      </c>
      <c r="H75" s="4">
        <v>26025.13</v>
      </c>
      <c r="I75" s="18">
        <f>WEEKDAY(Table1[[#This Row],[Date]],3)</f>
        <v>5</v>
      </c>
    </row>
    <row r="76" spans="1:9" x14ac:dyDescent="0.3">
      <c r="A76" s="1">
        <v>45375</v>
      </c>
      <c r="B76" t="s">
        <v>20</v>
      </c>
      <c r="C76" t="s">
        <v>24</v>
      </c>
      <c r="D76" t="s">
        <v>18</v>
      </c>
      <c r="E76" t="s">
        <v>11</v>
      </c>
      <c r="F76">
        <v>19</v>
      </c>
      <c r="G76" s="3">
        <v>4667.6099999999997</v>
      </c>
      <c r="H76" s="4">
        <v>88684.59</v>
      </c>
      <c r="I76" s="18">
        <f>WEEKDAY(Table1[[#This Row],[Date]],3)</f>
        <v>6</v>
      </c>
    </row>
    <row r="77" spans="1:9" x14ac:dyDescent="0.3">
      <c r="A77" s="1">
        <v>45524</v>
      </c>
      <c r="B77" t="s">
        <v>27</v>
      </c>
      <c r="C77" t="s">
        <v>9</v>
      </c>
      <c r="D77" t="s">
        <v>10</v>
      </c>
      <c r="E77" t="s">
        <v>19</v>
      </c>
      <c r="F77">
        <v>14</v>
      </c>
      <c r="G77" s="3">
        <v>884.85</v>
      </c>
      <c r="H77" s="4">
        <v>12387.9</v>
      </c>
      <c r="I77" s="18">
        <f>WEEKDAY(Table1[[#This Row],[Date]],3)</f>
        <v>1</v>
      </c>
    </row>
    <row r="78" spans="1:9" x14ac:dyDescent="0.3">
      <c r="A78" s="1">
        <v>45343</v>
      </c>
      <c r="B78" t="s">
        <v>27</v>
      </c>
      <c r="C78" t="s">
        <v>24</v>
      </c>
      <c r="D78" t="s">
        <v>10</v>
      </c>
      <c r="E78" t="s">
        <v>16</v>
      </c>
      <c r="F78">
        <v>5</v>
      </c>
      <c r="G78" s="3">
        <v>700.74</v>
      </c>
      <c r="H78" s="4">
        <v>3503.7</v>
      </c>
      <c r="I78" s="18">
        <f>WEEKDAY(Table1[[#This Row],[Date]],3)</f>
        <v>2</v>
      </c>
    </row>
    <row r="79" spans="1:9" x14ac:dyDescent="0.3">
      <c r="A79" s="1">
        <v>45316</v>
      </c>
      <c r="B79" t="s">
        <v>8</v>
      </c>
      <c r="C79" t="s">
        <v>13</v>
      </c>
      <c r="D79" t="s">
        <v>18</v>
      </c>
      <c r="E79" t="s">
        <v>19</v>
      </c>
      <c r="F79">
        <v>16</v>
      </c>
      <c r="G79" s="3">
        <v>1408.53</v>
      </c>
      <c r="H79" s="4">
        <v>22536.48</v>
      </c>
      <c r="I79" s="18">
        <f>WEEKDAY(Table1[[#This Row],[Date]],3)</f>
        <v>3</v>
      </c>
    </row>
    <row r="80" spans="1:9" x14ac:dyDescent="0.3">
      <c r="A80" s="1">
        <v>45400</v>
      </c>
      <c r="B80" t="s">
        <v>28</v>
      </c>
      <c r="C80" t="s">
        <v>24</v>
      </c>
      <c r="D80" t="s">
        <v>15</v>
      </c>
      <c r="E80" t="s">
        <v>22</v>
      </c>
      <c r="F80">
        <v>5</v>
      </c>
      <c r="G80" s="3">
        <v>1142.22</v>
      </c>
      <c r="H80" s="4">
        <v>5711.1</v>
      </c>
      <c r="I80" s="18">
        <f>WEEKDAY(Table1[[#This Row],[Date]],3)</f>
        <v>3</v>
      </c>
    </row>
    <row r="81" spans="1:9" x14ac:dyDescent="0.3">
      <c r="A81" s="1">
        <v>45512</v>
      </c>
      <c r="B81" t="s">
        <v>17</v>
      </c>
      <c r="C81" t="s">
        <v>13</v>
      </c>
      <c r="D81" t="s">
        <v>21</v>
      </c>
      <c r="E81" t="s">
        <v>26</v>
      </c>
      <c r="F81">
        <v>10</v>
      </c>
      <c r="G81" s="3">
        <v>3005.45</v>
      </c>
      <c r="H81" s="4">
        <v>30054.5</v>
      </c>
      <c r="I81" s="18">
        <f>WEEKDAY(Table1[[#This Row],[Date]],3)</f>
        <v>3</v>
      </c>
    </row>
    <row r="82" spans="1:9" x14ac:dyDescent="0.3">
      <c r="A82" s="1">
        <v>45544</v>
      </c>
      <c r="B82" t="s">
        <v>29</v>
      </c>
      <c r="C82" t="s">
        <v>13</v>
      </c>
      <c r="D82" t="s">
        <v>15</v>
      </c>
      <c r="E82" t="s">
        <v>16</v>
      </c>
      <c r="F82">
        <v>8</v>
      </c>
      <c r="G82" s="3">
        <v>2602.8000000000002</v>
      </c>
      <c r="H82" s="4">
        <v>20822.400000000001</v>
      </c>
      <c r="I82" s="18">
        <f>WEEKDAY(Table1[[#This Row],[Date]],3)</f>
        <v>0</v>
      </c>
    </row>
    <row r="83" spans="1:9" x14ac:dyDescent="0.3">
      <c r="A83" s="1">
        <v>45574</v>
      </c>
      <c r="B83" t="s">
        <v>12</v>
      </c>
      <c r="C83" t="s">
        <v>24</v>
      </c>
      <c r="D83" t="s">
        <v>18</v>
      </c>
      <c r="E83" t="s">
        <v>16</v>
      </c>
      <c r="F83">
        <v>5</v>
      </c>
      <c r="G83" s="3">
        <v>755.94</v>
      </c>
      <c r="H83" s="4">
        <v>3779.7</v>
      </c>
      <c r="I83" s="18">
        <f>WEEKDAY(Table1[[#This Row],[Date]],3)</f>
        <v>2</v>
      </c>
    </row>
    <row r="84" spans="1:9" x14ac:dyDescent="0.3">
      <c r="A84" s="1">
        <v>45427</v>
      </c>
      <c r="B84" t="s">
        <v>25</v>
      </c>
      <c r="C84" t="s">
        <v>24</v>
      </c>
      <c r="D84" t="s">
        <v>21</v>
      </c>
      <c r="E84" t="s">
        <v>26</v>
      </c>
      <c r="F84">
        <v>7</v>
      </c>
      <c r="G84" s="3">
        <v>19374.009999999998</v>
      </c>
      <c r="H84" s="4">
        <v>135618.07</v>
      </c>
      <c r="I84" s="18">
        <f>WEEKDAY(Table1[[#This Row],[Date]],3)</f>
        <v>2</v>
      </c>
    </row>
    <row r="85" spans="1:9" x14ac:dyDescent="0.3">
      <c r="A85" s="1">
        <v>45423</v>
      </c>
      <c r="B85" t="s">
        <v>8</v>
      </c>
      <c r="C85" t="s">
        <v>24</v>
      </c>
      <c r="D85" t="s">
        <v>21</v>
      </c>
      <c r="E85" t="s">
        <v>11</v>
      </c>
      <c r="F85">
        <v>12</v>
      </c>
      <c r="G85" s="3">
        <v>1242.05</v>
      </c>
      <c r="H85" s="4">
        <v>14904.6</v>
      </c>
      <c r="I85" s="18">
        <f>WEEKDAY(Table1[[#This Row],[Date]],3)</f>
        <v>5</v>
      </c>
    </row>
    <row r="86" spans="1:9" x14ac:dyDescent="0.3">
      <c r="A86" s="1">
        <v>45382</v>
      </c>
      <c r="B86" t="s">
        <v>12</v>
      </c>
      <c r="C86" t="s">
        <v>24</v>
      </c>
      <c r="D86" t="s">
        <v>10</v>
      </c>
      <c r="E86" t="s">
        <v>11</v>
      </c>
      <c r="F86">
        <v>13</v>
      </c>
      <c r="G86" s="3">
        <v>636.13</v>
      </c>
      <c r="H86" s="4">
        <v>8269.69</v>
      </c>
      <c r="I86" s="18">
        <f>WEEKDAY(Table1[[#This Row],[Date]],3)</f>
        <v>6</v>
      </c>
    </row>
    <row r="87" spans="1:9" x14ac:dyDescent="0.3">
      <c r="A87" s="1">
        <v>45511</v>
      </c>
      <c r="B87" t="s">
        <v>12</v>
      </c>
      <c r="C87" t="s">
        <v>9</v>
      </c>
      <c r="D87" t="s">
        <v>10</v>
      </c>
      <c r="E87" t="s">
        <v>26</v>
      </c>
      <c r="F87">
        <v>7</v>
      </c>
      <c r="G87" s="3">
        <v>1032.8599999999999</v>
      </c>
      <c r="H87" s="4">
        <v>7230.02</v>
      </c>
      <c r="I87" s="18">
        <f>WEEKDAY(Table1[[#This Row],[Date]],3)</f>
        <v>2</v>
      </c>
    </row>
    <row r="88" spans="1:9" x14ac:dyDescent="0.3">
      <c r="A88" s="1">
        <v>45639</v>
      </c>
      <c r="B88" t="s">
        <v>20</v>
      </c>
      <c r="C88" t="s">
        <v>13</v>
      </c>
      <c r="D88" t="s">
        <v>21</v>
      </c>
      <c r="E88" t="s">
        <v>26</v>
      </c>
      <c r="F88">
        <v>1</v>
      </c>
      <c r="G88" s="3">
        <v>4170.79</v>
      </c>
      <c r="H88" s="4">
        <v>4170.79</v>
      </c>
      <c r="I88" s="18">
        <f>WEEKDAY(Table1[[#This Row],[Date]],3)</f>
        <v>4</v>
      </c>
    </row>
    <row r="89" spans="1:9" x14ac:dyDescent="0.3">
      <c r="A89" s="1">
        <v>45425</v>
      </c>
      <c r="B89" t="s">
        <v>12</v>
      </c>
      <c r="C89" t="s">
        <v>9</v>
      </c>
      <c r="D89" t="s">
        <v>21</v>
      </c>
      <c r="E89" t="s">
        <v>16</v>
      </c>
      <c r="F89">
        <v>15</v>
      </c>
      <c r="G89" s="3">
        <v>1111.22</v>
      </c>
      <c r="H89" s="4">
        <v>16668.3</v>
      </c>
      <c r="I89" s="18">
        <f>WEEKDAY(Table1[[#This Row],[Date]],3)</f>
        <v>0</v>
      </c>
    </row>
    <row r="90" spans="1:9" x14ac:dyDescent="0.3">
      <c r="A90" s="1">
        <v>45504</v>
      </c>
      <c r="B90" t="s">
        <v>28</v>
      </c>
      <c r="C90" t="s">
        <v>13</v>
      </c>
      <c r="D90" t="s">
        <v>10</v>
      </c>
      <c r="E90" t="s">
        <v>19</v>
      </c>
      <c r="F90">
        <v>18</v>
      </c>
      <c r="G90" s="3">
        <v>799.73</v>
      </c>
      <c r="H90" s="4">
        <v>14395.14</v>
      </c>
      <c r="I90" s="18">
        <f>WEEKDAY(Table1[[#This Row],[Date]],3)</f>
        <v>2</v>
      </c>
    </row>
    <row r="91" spans="1:9" x14ac:dyDescent="0.3">
      <c r="A91" s="1">
        <v>45596</v>
      </c>
      <c r="B91" t="s">
        <v>25</v>
      </c>
      <c r="C91" t="s">
        <v>9</v>
      </c>
      <c r="D91" t="s">
        <v>15</v>
      </c>
      <c r="E91" t="s">
        <v>11</v>
      </c>
      <c r="F91">
        <v>16</v>
      </c>
      <c r="G91" s="3">
        <v>17133.91</v>
      </c>
      <c r="H91" s="4">
        <v>274142.56</v>
      </c>
      <c r="I91" s="18">
        <f>WEEKDAY(Table1[[#This Row],[Date]],3)</f>
        <v>3</v>
      </c>
    </row>
    <row r="92" spans="1:9" x14ac:dyDescent="0.3">
      <c r="A92" s="1">
        <v>45303</v>
      </c>
      <c r="B92" t="s">
        <v>12</v>
      </c>
      <c r="C92" t="s">
        <v>24</v>
      </c>
      <c r="D92" t="s">
        <v>21</v>
      </c>
      <c r="E92" t="s">
        <v>19</v>
      </c>
      <c r="F92">
        <v>8</v>
      </c>
      <c r="G92" s="3">
        <v>721.63</v>
      </c>
      <c r="H92" s="4">
        <v>5773.04</v>
      </c>
      <c r="I92" s="18">
        <f>WEEKDAY(Table1[[#This Row],[Date]],3)</f>
        <v>4</v>
      </c>
    </row>
    <row r="93" spans="1:9" x14ac:dyDescent="0.3">
      <c r="A93" s="1">
        <v>45455</v>
      </c>
      <c r="B93" t="s">
        <v>12</v>
      </c>
      <c r="C93" t="s">
        <v>24</v>
      </c>
      <c r="D93" t="s">
        <v>21</v>
      </c>
      <c r="E93" t="s">
        <v>22</v>
      </c>
      <c r="F93">
        <v>5</v>
      </c>
      <c r="G93" s="3">
        <v>1156.17</v>
      </c>
      <c r="H93" s="4">
        <v>5780.85</v>
      </c>
      <c r="I93" s="18">
        <f>WEEKDAY(Table1[[#This Row],[Date]],3)</f>
        <v>2</v>
      </c>
    </row>
    <row r="94" spans="1:9" x14ac:dyDescent="0.3">
      <c r="A94" s="1">
        <v>45483</v>
      </c>
      <c r="B94" t="s">
        <v>29</v>
      </c>
      <c r="C94" t="s">
        <v>13</v>
      </c>
      <c r="D94" t="s">
        <v>18</v>
      </c>
      <c r="E94" t="s">
        <v>26</v>
      </c>
      <c r="F94">
        <v>1</v>
      </c>
      <c r="G94" s="3">
        <v>3313.53</v>
      </c>
      <c r="H94" s="4">
        <v>3313.53</v>
      </c>
      <c r="I94" s="18">
        <f>WEEKDAY(Table1[[#This Row],[Date]],3)</f>
        <v>2</v>
      </c>
    </row>
    <row r="95" spans="1:9" x14ac:dyDescent="0.3">
      <c r="A95" s="1">
        <v>45511</v>
      </c>
      <c r="B95" t="s">
        <v>27</v>
      </c>
      <c r="C95" t="s">
        <v>9</v>
      </c>
      <c r="D95" t="s">
        <v>15</v>
      </c>
      <c r="E95" t="s">
        <v>22</v>
      </c>
      <c r="F95">
        <v>19</v>
      </c>
      <c r="G95" s="3">
        <v>908.35</v>
      </c>
      <c r="H95" s="4">
        <v>17258.650000000001</v>
      </c>
      <c r="I95" s="18">
        <f>WEEKDAY(Table1[[#This Row],[Date]],3)</f>
        <v>2</v>
      </c>
    </row>
    <row r="96" spans="1:9" x14ac:dyDescent="0.3">
      <c r="A96" s="1">
        <v>45594</v>
      </c>
      <c r="B96" t="s">
        <v>20</v>
      </c>
      <c r="C96" t="s">
        <v>24</v>
      </c>
      <c r="D96" t="s">
        <v>15</v>
      </c>
      <c r="E96" t="s">
        <v>22</v>
      </c>
      <c r="F96">
        <v>13</v>
      </c>
      <c r="G96" s="3">
        <v>3994.5</v>
      </c>
      <c r="H96" s="4">
        <v>51928.5</v>
      </c>
      <c r="I96" s="18">
        <f>WEEKDAY(Table1[[#This Row],[Date]],3)</f>
        <v>1</v>
      </c>
    </row>
    <row r="97" spans="1:9" x14ac:dyDescent="0.3">
      <c r="A97" s="1">
        <v>45580</v>
      </c>
      <c r="B97" t="s">
        <v>29</v>
      </c>
      <c r="C97" t="s">
        <v>9</v>
      </c>
      <c r="D97" t="s">
        <v>15</v>
      </c>
      <c r="E97" t="s">
        <v>26</v>
      </c>
      <c r="F97">
        <v>11</v>
      </c>
      <c r="G97" s="3">
        <v>3697.67</v>
      </c>
      <c r="H97" s="4">
        <v>40674.370000000003</v>
      </c>
      <c r="I97" s="18">
        <f>WEEKDAY(Table1[[#This Row],[Date]],3)</f>
        <v>1</v>
      </c>
    </row>
    <row r="98" spans="1:9" x14ac:dyDescent="0.3">
      <c r="A98" s="1">
        <v>45354</v>
      </c>
      <c r="B98" t="s">
        <v>20</v>
      </c>
      <c r="C98" t="s">
        <v>24</v>
      </c>
      <c r="D98" t="s">
        <v>10</v>
      </c>
      <c r="E98" t="s">
        <v>11</v>
      </c>
      <c r="F98">
        <v>17</v>
      </c>
      <c r="G98" s="3">
        <v>6014.99</v>
      </c>
      <c r="H98" s="4">
        <v>102254.83</v>
      </c>
      <c r="I98" s="18">
        <f>WEEKDAY(Table1[[#This Row],[Date]],3)</f>
        <v>6</v>
      </c>
    </row>
    <row r="99" spans="1:9" x14ac:dyDescent="0.3">
      <c r="A99" s="1">
        <v>45389</v>
      </c>
      <c r="B99" t="s">
        <v>20</v>
      </c>
      <c r="C99" t="s">
        <v>13</v>
      </c>
      <c r="D99" t="s">
        <v>10</v>
      </c>
      <c r="E99" t="s">
        <v>26</v>
      </c>
      <c r="F99">
        <v>16</v>
      </c>
      <c r="G99" s="3">
        <v>3726.08</v>
      </c>
      <c r="H99" s="4">
        <v>59617.279999999999</v>
      </c>
      <c r="I99" s="18">
        <f>WEEKDAY(Table1[[#This Row],[Date]],3)</f>
        <v>6</v>
      </c>
    </row>
    <row r="100" spans="1:9" x14ac:dyDescent="0.3">
      <c r="A100" s="1">
        <v>45488</v>
      </c>
      <c r="B100" t="s">
        <v>28</v>
      </c>
      <c r="C100" t="s">
        <v>24</v>
      </c>
      <c r="D100" t="s">
        <v>10</v>
      </c>
      <c r="E100" t="s">
        <v>16</v>
      </c>
      <c r="F100">
        <v>5</v>
      </c>
      <c r="G100" s="3">
        <v>1135.67</v>
      </c>
      <c r="H100" s="4">
        <v>5678.35</v>
      </c>
      <c r="I100" s="18">
        <f>WEEKDAY(Table1[[#This Row],[Date]],3)</f>
        <v>0</v>
      </c>
    </row>
    <row r="101" spans="1:9" x14ac:dyDescent="0.3">
      <c r="A101" s="1">
        <v>45493</v>
      </c>
      <c r="B101" t="s">
        <v>12</v>
      </c>
      <c r="C101" t="s">
        <v>13</v>
      </c>
      <c r="D101" t="s">
        <v>18</v>
      </c>
      <c r="E101" t="s">
        <v>16</v>
      </c>
      <c r="F101">
        <v>14</v>
      </c>
      <c r="G101" s="3">
        <v>740.72</v>
      </c>
      <c r="H101" s="4">
        <v>10370.08</v>
      </c>
      <c r="I101" s="18">
        <f>WEEKDAY(Table1[[#This Row],[Date]],3)</f>
        <v>5</v>
      </c>
    </row>
    <row r="102" spans="1:9" x14ac:dyDescent="0.3">
      <c r="A102" s="1">
        <v>45292</v>
      </c>
      <c r="B102" t="s">
        <v>27</v>
      </c>
      <c r="C102" t="s">
        <v>9</v>
      </c>
      <c r="D102" t="s">
        <v>18</v>
      </c>
      <c r="E102" t="s">
        <v>19</v>
      </c>
      <c r="F102">
        <v>1</v>
      </c>
      <c r="G102" s="3">
        <v>882.42</v>
      </c>
      <c r="H102" s="4">
        <v>882.42</v>
      </c>
      <c r="I102" s="18">
        <f>WEEKDAY(Table1[[#This Row],[Date]],3)</f>
        <v>0</v>
      </c>
    </row>
    <row r="103" spans="1:9" x14ac:dyDescent="0.3">
      <c r="A103" s="1">
        <v>45579</v>
      </c>
      <c r="B103" t="s">
        <v>17</v>
      </c>
      <c r="C103" t="s">
        <v>13</v>
      </c>
      <c r="D103" t="s">
        <v>21</v>
      </c>
      <c r="E103" t="s">
        <v>22</v>
      </c>
      <c r="F103">
        <v>2</v>
      </c>
      <c r="G103" s="3">
        <v>2464.3200000000002</v>
      </c>
      <c r="H103" s="4">
        <v>4928.6400000000003</v>
      </c>
      <c r="I103" s="18">
        <f>WEEKDAY(Table1[[#This Row],[Date]],3)</f>
        <v>0</v>
      </c>
    </row>
    <row r="104" spans="1:9" x14ac:dyDescent="0.3">
      <c r="A104" s="1">
        <v>45550</v>
      </c>
      <c r="B104" t="s">
        <v>17</v>
      </c>
      <c r="C104" t="s">
        <v>9</v>
      </c>
      <c r="D104" t="s">
        <v>15</v>
      </c>
      <c r="E104" t="s">
        <v>19</v>
      </c>
      <c r="F104">
        <v>5</v>
      </c>
      <c r="G104" s="3">
        <v>1882.61</v>
      </c>
      <c r="H104" s="4">
        <v>9413.0499999999993</v>
      </c>
      <c r="I104" s="18">
        <f>WEEKDAY(Table1[[#This Row],[Date]],3)</f>
        <v>6</v>
      </c>
    </row>
    <row r="105" spans="1:9" x14ac:dyDescent="0.3">
      <c r="A105" s="1">
        <v>45542</v>
      </c>
      <c r="B105" t="s">
        <v>20</v>
      </c>
      <c r="C105" t="s">
        <v>9</v>
      </c>
      <c r="D105" t="s">
        <v>21</v>
      </c>
      <c r="E105" t="s">
        <v>16</v>
      </c>
      <c r="F105">
        <v>14</v>
      </c>
      <c r="G105" s="3">
        <v>5612.24</v>
      </c>
      <c r="H105" s="4">
        <v>78571.360000000001</v>
      </c>
      <c r="I105" s="18">
        <f>WEEKDAY(Table1[[#This Row],[Date]],3)</f>
        <v>5</v>
      </c>
    </row>
    <row r="106" spans="1:9" x14ac:dyDescent="0.3">
      <c r="A106" s="1">
        <v>45394</v>
      </c>
      <c r="B106" t="s">
        <v>29</v>
      </c>
      <c r="C106" t="s">
        <v>24</v>
      </c>
      <c r="D106" t="s">
        <v>15</v>
      </c>
      <c r="E106" t="s">
        <v>22</v>
      </c>
      <c r="F106">
        <v>2</v>
      </c>
      <c r="G106" s="3">
        <v>3786.95</v>
      </c>
      <c r="H106" s="4">
        <v>7573.9</v>
      </c>
      <c r="I106" s="18">
        <f>WEEKDAY(Table1[[#This Row],[Date]],3)</f>
        <v>4</v>
      </c>
    </row>
    <row r="107" spans="1:9" x14ac:dyDescent="0.3">
      <c r="A107" s="1">
        <v>45626</v>
      </c>
      <c r="B107" t="s">
        <v>27</v>
      </c>
      <c r="C107" t="s">
        <v>13</v>
      </c>
      <c r="D107" t="s">
        <v>15</v>
      </c>
      <c r="E107" t="s">
        <v>19</v>
      </c>
      <c r="F107">
        <v>6</v>
      </c>
      <c r="G107" s="3">
        <v>776.44</v>
      </c>
      <c r="H107" s="4">
        <v>4658.6400000000003</v>
      </c>
      <c r="I107" s="18">
        <f>WEEKDAY(Table1[[#This Row],[Date]],3)</f>
        <v>5</v>
      </c>
    </row>
    <row r="108" spans="1:9" x14ac:dyDescent="0.3">
      <c r="A108" s="1">
        <v>45626</v>
      </c>
      <c r="B108" t="s">
        <v>23</v>
      </c>
      <c r="C108" t="s">
        <v>24</v>
      </c>
      <c r="D108" t="s">
        <v>10</v>
      </c>
      <c r="E108" t="s">
        <v>26</v>
      </c>
      <c r="F108">
        <v>5</v>
      </c>
      <c r="G108" s="3">
        <v>1766.82</v>
      </c>
      <c r="H108" s="4">
        <v>8834.1</v>
      </c>
      <c r="I108" s="18">
        <f>WEEKDAY(Table1[[#This Row],[Date]],3)</f>
        <v>5</v>
      </c>
    </row>
    <row r="109" spans="1:9" x14ac:dyDescent="0.3">
      <c r="A109" s="1">
        <v>45429</v>
      </c>
      <c r="B109" t="s">
        <v>14</v>
      </c>
      <c r="C109" t="s">
        <v>9</v>
      </c>
      <c r="D109" t="s">
        <v>15</v>
      </c>
      <c r="E109" t="s">
        <v>26</v>
      </c>
      <c r="F109">
        <v>5</v>
      </c>
      <c r="G109" s="3">
        <v>772.81</v>
      </c>
      <c r="H109" s="4">
        <v>3864.05</v>
      </c>
      <c r="I109" s="18">
        <f>WEEKDAY(Table1[[#This Row],[Date]],3)</f>
        <v>4</v>
      </c>
    </row>
    <row r="110" spans="1:9" x14ac:dyDescent="0.3">
      <c r="A110" s="1">
        <v>45344</v>
      </c>
      <c r="B110" t="s">
        <v>17</v>
      </c>
      <c r="C110" t="s">
        <v>9</v>
      </c>
      <c r="D110" t="s">
        <v>15</v>
      </c>
      <c r="E110" t="s">
        <v>11</v>
      </c>
      <c r="F110">
        <v>11</v>
      </c>
      <c r="G110" s="3">
        <v>2110.2199999999998</v>
      </c>
      <c r="H110" s="4">
        <v>23212.42</v>
      </c>
      <c r="I110" s="18">
        <f>WEEKDAY(Table1[[#This Row],[Date]],3)</f>
        <v>3</v>
      </c>
    </row>
    <row r="111" spans="1:9" x14ac:dyDescent="0.3">
      <c r="A111" s="1">
        <v>45402</v>
      </c>
      <c r="B111" t="s">
        <v>20</v>
      </c>
      <c r="C111" t="s">
        <v>13</v>
      </c>
      <c r="D111" t="s">
        <v>10</v>
      </c>
      <c r="E111" t="s">
        <v>11</v>
      </c>
      <c r="F111">
        <v>16</v>
      </c>
      <c r="G111" s="3">
        <v>5422.62</v>
      </c>
      <c r="H111" s="4">
        <v>86761.919999999998</v>
      </c>
      <c r="I111" s="18">
        <f>WEEKDAY(Table1[[#This Row],[Date]],3)</f>
        <v>5</v>
      </c>
    </row>
    <row r="112" spans="1:9" x14ac:dyDescent="0.3">
      <c r="A112" s="1">
        <v>45651</v>
      </c>
      <c r="B112" t="s">
        <v>8</v>
      </c>
      <c r="C112" t="s">
        <v>9</v>
      </c>
      <c r="D112" t="s">
        <v>10</v>
      </c>
      <c r="E112" t="s">
        <v>11</v>
      </c>
      <c r="F112">
        <v>18</v>
      </c>
      <c r="G112" s="3">
        <v>1273.3900000000001</v>
      </c>
      <c r="H112" s="4">
        <v>22921.02</v>
      </c>
      <c r="I112" s="18">
        <f>WEEKDAY(Table1[[#This Row],[Date]],3)</f>
        <v>2</v>
      </c>
    </row>
    <row r="113" spans="1:9" x14ac:dyDescent="0.3">
      <c r="A113" s="1">
        <v>45342</v>
      </c>
      <c r="B113" t="s">
        <v>27</v>
      </c>
      <c r="C113" t="s">
        <v>9</v>
      </c>
      <c r="D113" t="s">
        <v>18</v>
      </c>
      <c r="E113" t="s">
        <v>22</v>
      </c>
      <c r="F113">
        <v>10</v>
      </c>
      <c r="G113" s="3">
        <v>644.97</v>
      </c>
      <c r="H113" s="4">
        <v>6449.7</v>
      </c>
      <c r="I113" s="18">
        <f>WEEKDAY(Table1[[#This Row],[Date]],3)</f>
        <v>1</v>
      </c>
    </row>
    <row r="114" spans="1:9" x14ac:dyDescent="0.3">
      <c r="A114" s="1">
        <v>45617</v>
      </c>
      <c r="B114" t="s">
        <v>25</v>
      </c>
      <c r="C114" t="s">
        <v>9</v>
      </c>
      <c r="D114" t="s">
        <v>18</v>
      </c>
      <c r="E114" t="s">
        <v>19</v>
      </c>
      <c r="F114">
        <v>14</v>
      </c>
      <c r="G114" s="3">
        <v>13778.43</v>
      </c>
      <c r="H114" s="4">
        <v>192898.02</v>
      </c>
      <c r="I114" s="18">
        <f>WEEKDAY(Table1[[#This Row],[Date]],3)</f>
        <v>3</v>
      </c>
    </row>
    <row r="115" spans="1:9" x14ac:dyDescent="0.3">
      <c r="A115" s="1">
        <v>45369</v>
      </c>
      <c r="B115" t="s">
        <v>12</v>
      </c>
      <c r="C115" t="s">
        <v>9</v>
      </c>
      <c r="D115" t="s">
        <v>10</v>
      </c>
      <c r="E115" t="s">
        <v>26</v>
      </c>
      <c r="F115">
        <v>15</v>
      </c>
      <c r="G115" s="3">
        <v>969.07</v>
      </c>
      <c r="H115" s="4">
        <v>14536.05</v>
      </c>
      <c r="I115" s="18">
        <f>WEEKDAY(Table1[[#This Row],[Date]],3)</f>
        <v>0</v>
      </c>
    </row>
    <row r="116" spans="1:9" x14ac:dyDescent="0.3">
      <c r="A116" s="1">
        <v>45530</v>
      </c>
      <c r="B116" t="s">
        <v>14</v>
      </c>
      <c r="C116" t="s">
        <v>24</v>
      </c>
      <c r="D116" t="s">
        <v>10</v>
      </c>
      <c r="E116" t="s">
        <v>16</v>
      </c>
      <c r="F116">
        <v>17</v>
      </c>
      <c r="G116" s="3">
        <v>519.67999999999995</v>
      </c>
      <c r="H116" s="4">
        <v>8834.56</v>
      </c>
      <c r="I116" s="18">
        <f>WEEKDAY(Table1[[#This Row],[Date]],3)</f>
        <v>0</v>
      </c>
    </row>
    <row r="117" spans="1:9" x14ac:dyDescent="0.3">
      <c r="A117" s="1">
        <v>45548</v>
      </c>
      <c r="B117" t="s">
        <v>14</v>
      </c>
      <c r="C117" t="s">
        <v>9</v>
      </c>
      <c r="D117" t="s">
        <v>10</v>
      </c>
      <c r="E117" t="s">
        <v>16</v>
      </c>
      <c r="F117">
        <v>15</v>
      </c>
      <c r="G117" s="3">
        <v>613.16999999999996</v>
      </c>
      <c r="H117" s="4">
        <v>9197.5499999999993</v>
      </c>
      <c r="I117" s="18">
        <f>WEEKDAY(Table1[[#This Row],[Date]],3)</f>
        <v>4</v>
      </c>
    </row>
    <row r="118" spans="1:9" x14ac:dyDescent="0.3">
      <c r="A118" s="1">
        <v>45347</v>
      </c>
      <c r="B118" t="s">
        <v>29</v>
      </c>
      <c r="C118" t="s">
        <v>24</v>
      </c>
      <c r="D118" t="s">
        <v>15</v>
      </c>
      <c r="E118" t="s">
        <v>19</v>
      </c>
      <c r="F118">
        <v>14</v>
      </c>
      <c r="G118" s="3">
        <v>3421.32</v>
      </c>
      <c r="H118" s="4">
        <v>47898.48</v>
      </c>
      <c r="I118" s="18">
        <f>WEEKDAY(Table1[[#This Row],[Date]],3)</f>
        <v>6</v>
      </c>
    </row>
    <row r="119" spans="1:9" x14ac:dyDescent="0.3">
      <c r="A119" s="1">
        <v>45656</v>
      </c>
      <c r="B119" t="s">
        <v>12</v>
      </c>
      <c r="C119" t="s">
        <v>24</v>
      </c>
      <c r="D119" t="s">
        <v>10</v>
      </c>
      <c r="E119" t="s">
        <v>11</v>
      </c>
      <c r="F119">
        <v>7</v>
      </c>
      <c r="G119" s="3">
        <v>1001.07</v>
      </c>
      <c r="H119" s="4">
        <v>7007.49</v>
      </c>
      <c r="I119" s="18">
        <f>WEEKDAY(Table1[[#This Row],[Date]],3)</f>
        <v>0</v>
      </c>
    </row>
    <row r="120" spans="1:9" x14ac:dyDescent="0.3">
      <c r="A120" s="1">
        <v>45529</v>
      </c>
      <c r="B120" t="s">
        <v>17</v>
      </c>
      <c r="C120" t="s">
        <v>24</v>
      </c>
      <c r="D120" t="s">
        <v>15</v>
      </c>
      <c r="E120" t="s">
        <v>11</v>
      </c>
      <c r="F120">
        <v>19</v>
      </c>
      <c r="G120" s="3">
        <v>2113.71</v>
      </c>
      <c r="H120" s="4">
        <v>40160.49</v>
      </c>
      <c r="I120" s="18">
        <f>WEEKDAY(Table1[[#This Row],[Date]],3)</f>
        <v>6</v>
      </c>
    </row>
    <row r="121" spans="1:9" x14ac:dyDescent="0.3">
      <c r="A121" s="1">
        <v>45410</v>
      </c>
      <c r="B121" t="s">
        <v>28</v>
      </c>
      <c r="C121" t="s">
        <v>24</v>
      </c>
      <c r="D121" t="s">
        <v>10</v>
      </c>
      <c r="E121" t="s">
        <v>26</v>
      </c>
      <c r="F121">
        <v>17</v>
      </c>
      <c r="G121" s="3">
        <v>826.87</v>
      </c>
      <c r="H121" s="4">
        <v>14056.79</v>
      </c>
      <c r="I121" s="18">
        <f>WEEKDAY(Table1[[#This Row],[Date]],3)</f>
        <v>6</v>
      </c>
    </row>
    <row r="122" spans="1:9" x14ac:dyDescent="0.3">
      <c r="A122" s="1">
        <v>45417</v>
      </c>
      <c r="B122" t="s">
        <v>20</v>
      </c>
      <c r="C122" t="s">
        <v>9</v>
      </c>
      <c r="D122" t="s">
        <v>18</v>
      </c>
      <c r="E122" t="s">
        <v>19</v>
      </c>
      <c r="F122">
        <v>4</v>
      </c>
      <c r="G122" s="3">
        <v>4565.3100000000004</v>
      </c>
      <c r="H122" s="4">
        <v>18261.240000000002</v>
      </c>
      <c r="I122" s="18">
        <f>WEEKDAY(Table1[[#This Row],[Date]],3)</f>
        <v>6</v>
      </c>
    </row>
    <row r="123" spans="1:9" x14ac:dyDescent="0.3">
      <c r="A123" s="1">
        <v>45524</v>
      </c>
      <c r="B123" t="s">
        <v>17</v>
      </c>
      <c r="C123" t="s">
        <v>13</v>
      </c>
      <c r="D123" t="s">
        <v>21</v>
      </c>
      <c r="E123" t="s">
        <v>22</v>
      </c>
      <c r="F123">
        <v>15</v>
      </c>
      <c r="G123" s="3">
        <v>2868.16</v>
      </c>
      <c r="H123" s="4">
        <v>43022.400000000001</v>
      </c>
      <c r="I123" s="18">
        <f>WEEKDAY(Table1[[#This Row],[Date]],3)</f>
        <v>1</v>
      </c>
    </row>
    <row r="124" spans="1:9" x14ac:dyDescent="0.3">
      <c r="A124" s="1">
        <v>45527</v>
      </c>
      <c r="B124" t="s">
        <v>27</v>
      </c>
      <c r="C124" t="s">
        <v>24</v>
      </c>
      <c r="D124" t="s">
        <v>18</v>
      </c>
      <c r="E124" t="s">
        <v>16</v>
      </c>
      <c r="F124">
        <v>6</v>
      </c>
      <c r="G124" s="3">
        <v>991.83</v>
      </c>
      <c r="H124" s="4">
        <v>5950.98</v>
      </c>
      <c r="I124" s="18">
        <f>WEEKDAY(Table1[[#This Row],[Date]],3)</f>
        <v>4</v>
      </c>
    </row>
    <row r="125" spans="1:9" x14ac:dyDescent="0.3">
      <c r="A125" s="1">
        <v>45611</v>
      </c>
      <c r="B125" t="s">
        <v>17</v>
      </c>
      <c r="C125" t="s">
        <v>13</v>
      </c>
      <c r="D125" t="s">
        <v>21</v>
      </c>
      <c r="E125" t="s">
        <v>11</v>
      </c>
      <c r="F125">
        <v>13</v>
      </c>
      <c r="G125" s="3">
        <v>2245.52</v>
      </c>
      <c r="H125" s="4">
        <v>29191.759999999998</v>
      </c>
      <c r="I125" s="18">
        <f>WEEKDAY(Table1[[#This Row],[Date]],3)</f>
        <v>4</v>
      </c>
    </row>
    <row r="126" spans="1:9" x14ac:dyDescent="0.3">
      <c r="A126" s="1">
        <v>45580</v>
      </c>
      <c r="B126" t="s">
        <v>28</v>
      </c>
      <c r="C126" t="s">
        <v>24</v>
      </c>
      <c r="D126" t="s">
        <v>18</v>
      </c>
      <c r="E126" t="s">
        <v>19</v>
      </c>
      <c r="F126">
        <v>11</v>
      </c>
      <c r="G126" s="3">
        <v>752.73</v>
      </c>
      <c r="H126" s="4">
        <v>8280.0300000000007</v>
      </c>
      <c r="I126" s="18">
        <f>WEEKDAY(Table1[[#This Row],[Date]],3)</f>
        <v>1</v>
      </c>
    </row>
    <row r="127" spans="1:9" x14ac:dyDescent="0.3">
      <c r="A127" s="1">
        <v>45641</v>
      </c>
      <c r="B127" t="s">
        <v>14</v>
      </c>
      <c r="C127" t="s">
        <v>13</v>
      </c>
      <c r="D127" t="s">
        <v>18</v>
      </c>
      <c r="E127" t="s">
        <v>11</v>
      </c>
      <c r="F127">
        <v>19</v>
      </c>
      <c r="G127" s="3">
        <v>426.57</v>
      </c>
      <c r="H127" s="4">
        <v>8104.83</v>
      </c>
      <c r="I127" s="18">
        <f>WEEKDAY(Table1[[#This Row],[Date]],3)</f>
        <v>6</v>
      </c>
    </row>
    <row r="128" spans="1:9" x14ac:dyDescent="0.3">
      <c r="A128" s="1">
        <v>45520</v>
      </c>
      <c r="B128" t="s">
        <v>8</v>
      </c>
      <c r="C128" t="s">
        <v>13</v>
      </c>
      <c r="D128" t="s">
        <v>15</v>
      </c>
      <c r="E128" t="s">
        <v>22</v>
      </c>
      <c r="F128">
        <v>11</v>
      </c>
      <c r="G128" s="3">
        <v>1463.17</v>
      </c>
      <c r="H128" s="4">
        <v>16094.87</v>
      </c>
      <c r="I128" s="18">
        <f>WEEKDAY(Table1[[#This Row],[Date]],3)</f>
        <v>4</v>
      </c>
    </row>
    <row r="129" spans="1:9" x14ac:dyDescent="0.3">
      <c r="A129" s="1">
        <v>45425</v>
      </c>
      <c r="B129" t="s">
        <v>29</v>
      </c>
      <c r="C129" t="s">
        <v>9</v>
      </c>
      <c r="D129" t="s">
        <v>15</v>
      </c>
      <c r="E129" t="s">
        <v>11</v>
      </c>
      <c r="F129">
        <v>2</v>
      </c>
      <c r="G129" s="3">
        <v>3619.2</v>
      </c>
      <c r="H129" s="4">
        <v>7238.4</v>
      </c>
      <c r="I129" s="18">
        <f>WEEKDAY(Table1[[#This Row],[Date]],3)</f>
        <v>0</v>
      </c>
    </row>
    <row r="130" spans="1:9" x14ac:dyDescent="0.3">
      <c r="A130" s="1">
        <v>45317</v>
      </c>
      <c r="B130" t="s">
        <v>27</v>
      </c>
      <c r="C130" t="s">
        <v>9</v>
      </c>
      <c r="D130" t="s">
        <v>21</v>
      </c>
      <c r="E130" t="s">
        <v>16</v>
      </c>
      <c r="F130">
        <v>6</v>
      </c>
      <c r="G130" s="3">
        <v>1024.6400000000001</v>
      </c>
      <c r="H130" s="4">
        <v>6147.84</v>
      </c>
      <c r="I130" s="18">
        <f>WEEKDAY(Table1[[#This Row],[Date]],3)</f>
        <v>4</v>
      </c>
    </row>
    <row r="131" spans="1:9" x14ac:dyDescent="0.3">
      <c r="A131" s="1">
        <v>45615</v>
      </c>
      <c r="B131" t="s">
        <v>27</v>
      </c>
      <c r="C131" t="s">
        <v>9</v>
      </c>
      <c r="D131" t="s">
        <v>21</v>
      </c>
      <c r="E131" t="s">
        <v>26</v>
      </c>
      <c r="F131">
        <v>12</v>
      </c>
      <c r="G131" s="3">
        <v>615.12</v>
      </c>
      <c r="H131" s="4">
        <v>7381.44</v>
      </c>
      <c r="I131" s="18">
        <f>WEEKDAY(Table1[[#This Row],[Date]],3)</f>
        <v>1</v>
      </c>
    </row>
    <row r="132" spans="1:9" x14ac:dyDescent="0.3">
      <c r="A132" s="1">
        <v>45381</v>
      </c>
      <c r="B132" t="s">
        <v>29</v>
      </c>
      <c r="C132" t="s">
        <v>9</v>
      </c>
      <c r="D132" t="s">
        <v>15</v>
      </c>
      <c r="E132" t="s">
        <v>11</v>
      </c>
      <c r="F132">
        <v>4</v>
      </c>
      <c r="G132" s="3">
        <v>3123.35</v>
      </c>
      <c r="H132" s="4">
        <v>12493.4</v>
      </c>
      <c r="I132" s="18">
        <f>WEEKDAY(Table1[[#This Row],[Date]],3)</f>
        <v>5</v>
      </c>
    </row>
    <row r="133" spans="1:9" x14ac:dyDescent="0.3">
      <c r="A133" s="1">
        <v>45550</v>
      </c>
      <c r="B133" t="s">
        <v>25</v>
      </c>
      <c r="C133" t="s">
        <v>24</v>
      </c>
      <c r="D133" t="s">
        <v>15</v>
      </c>
      <c r="E133" t="s">
        <v>22</v>
      </c>
      <c r="F133">
        <v>5</v>
      </c>
      <c r="G133" s="3">
        <v>11070.37</v>
      </c>
      <c r="H133" s="4">
        <v>55351.85</v>
      </c>
      <c r="I133" s="18">
        <f>WEEKDAY(Table1[[#This Row],[Date]],3)</f>
        <v>6</v>
      </c>
    </row>
    <row r="134" spans="1:9" x14ac:dyDescent="0.3">
      <c r="A134" s="1">
        <v>45463</v>
      </c>
      <c r="B134" t="s">
        <v>17</v>
      </c>
      <c r="C134" t="s">
        <v>9</v>
      </c>
      <c r="D134" t="s">
        <v>21</v>
      </c>
      <c r="E134" t="s">
        <v>22</v>
      </c>
      <c r="F134">
        <v>1</v>
      </c>
      <c r="G134" s="3">
        <v>1958.24</v>
      </c>
      <c r="H134" s="4">
        <v>1958.24</v>
      </c>
      <c r="I134" s="18">
        <f>WEEKDAY(Table1[[#This Row],[Date]],3)</f>
        <v>3</v>
      </c>
    </row>
    <row r="135" spans="1:9" x14ac:dyDescent="0.3">
      <c r="A135" s="1">
        <v>45620</v>
      </c>
      <c r="B135" t="s">
        <v>25</v>
      </c>
      <c r="C135" t="s">
        <v>9</v>
      </c>
      <c r="D135" t="s">
        <v>10</v>
      </c>
      <c r="E135" t="s">
        <v>11</v>
      </c>
      <c r="F135">
        <v>17</v>
      </c>
      <c r="G135" s="3">
        <v>18156.55</v>
      </c>
      <c r="H135" s="4">
        <v>308661.34999999998</v>
      </c>
      <c r="I135" s="18">
        <f>WEEKDAY(Table1[[#This Row],[Date]],3)</f>
        <v>6</v>
      </c>
    </row>
    <row r="136" spans="1:9" x14ac:dyDescent="0.3">
      <c r="A136" s="1">
        <v>45527</v>
      </c>
      <c r="B136" t="s">
        <v>17</v>
      </c>
      <c r="C136" t="s">
        <v>24</v>
      </c>
      <c r="D136" t="s">
        <v>18</v>
      </c>
      <c r="E136" t="s">
        <v>11</v>
      </c>
      <c r="F136">
        <v>9</v>
      </c>
      <c r="G136" s="3">
        <v>2057.5</v>
      </c>
      <c r="H136" s="4">
        <v>18517.5</v>
      </c>
      <c r="I136" s="18">
        <f>WEEKDAY(Table1[[#This Row],[Date]],3)</f>
        <v>4</v>
      </c>
    </row>
    <row r="137" spans="1:9" x14ac:dyDescent="0.3">
      <c r="A137" s="1">
        <v>45326</v>
      </c>
      <c r="B137" t="s">
        <v>25</v>
      </c>
      <c r="C137" t="s">
        <v>24</v>
      </c>
      <c r="D137" t="s">
        <v>21</v>
      </c>
      <c r="E137" t="s">
        <v>16</v>
      </c>
      <c r="F137">
        <v>8</v>
      </c>
      <c r="G137" s="3">
        <v>17951.47</v>
      </c>
      <c r="H137" s="4">
        <v>143611.76</v>
      </c>
      <c r="I137" s="18">
        <f>WEEKDAY(Table1[[#This Row],[Date]],3)</f>
        <v>6</v>
      </c>
    </row>
    <row r="138" spans="1:9" x14ac:dyDescent="0.3">
      <c r="A138" s="1">
        <v>45520</v>
      </c>
      <c r="B138" t="s">
        <v>27</v>
      </c>
      <c r="C138" t="s">
        <v>9</v>
      </c>
      <c r="D138" t="s">
        <v>18</v>
      </c>
      <c r="E138" t="s">
        <v>16</v>
      </c>
      <c r="F138">
        <v>19</v>
      </c>
      <c r="G138" s="3">
        <v>879.29</v>
      </c>
      <c r="H138" s="4">
        <v>16706.509999999998</v>
      </c>
      <c r="I138" s="18">
        <f>WEEKDAY(Table1[[#This Row],[Date]],3)</f>
        <v>4</v>
      </c>
    </row>
    <row r="139" spans="1:9" x14ac:dyDescent="0.3">
      <c r="A139" s="1">
        <v>45353</v>
      </c>
      <c r="B139" t="s">
        <v>8</v>
      </c>
      <c r="C139" t="s">
        <v>9</v>
      </c>
      <c r="D139" t="s">
        <v>18</v>
      </c>
      <c r="E139" t="s">
        <v>22</v>
      </c>
      <c r="F139">
        <v>18</v>
      </c>
      <c r="G139" s="3">
        <v>1427.95</v>
      </c>
      <c r="H139" s="4">
        <v>25703.1</v>
      </c>
      <c r="I139" s="18">
        <f>WEEKDAY(Table1[[#This Row],[Date]],3)</f>
        <v>5</v>
      </c>
    </row>
    <row r="140" spans="1:9" x14ac:dyDescent="0.3">
      <c r="A140" s="1">
        <v>45586</v>
      </c>
      <c r="B140" t="s">
        <v>14</v>
      </c>
      <c r="C140" t="s">
        <v>24</v>
      </c>
      <c r="D140" t="s">
        <v>21</v>
      </c>
      <c r="E140" t="s">
        <v>11</v>
      </c>
      <c r="F140">
        <v>6</v>
      </c>
      <c r="G140" s="3">
        <v>614.32000000000005</v>
      </c>
      <c r="H140" s="4">
        <v>3685.92</v>
      </c>
      <c r="I140" s="18">
        <f>WEEKDAY(Table1[[#This Row],[Date]],3)</f>
        <v>0</v>
      </c>
    </row>
    <row r="141" spans="1:9" x14ac:dyDescent="0.3">
      <c r="A141" s="1">
        <v>45354</v>
      </c>
      <c r="B141" t="s">
        <v>25</v>
      </c>
      <c r="C141" t="s">
        <v>9</v>
      </c>
      <c r="D141" t="s">
        <v>18</v>
      </c>
      <c r="E141" t="s">
        <v>26</v>
      </c>
      <c r="F141">
        <v>15</v>
      </c>
      <c r="G141" s="3">
        <v>13955.02</v>
      </c>
      <c r="H141" s="4">
        <v>209325.3</v>
      </c>
      <c r="I141" s="18">
        <f>WEEKDAY(Table1[[#This Row],[Date]],3)</f>
        <v>6</v>
      </c>
    </row>
    <row r="142" spans="1:9" x14ac:dyDescent="0.3">
      <c r="A142" s="1">
        <v>45600</v>
      </c>
      <c r="B142" t="s">
        <v>14</v>
      </c>
      <c r="C142" t="s">
        <v>13</v>
      </c>
      <c r="D142" t="s">
        <v>10</v>
      </c>
      <c r="E142" t="s">
        <v>11</v>
      </c>
      <c r="F142">
        <v>6</v>
      </c>
      <c r="G142" s="3">
        <v>758.34</v>
      </c>
      <c r="H142" s="4">
        <v>4550.04</v>
      </c>
      <c r="I142" s="18">
        <f>WEEKDAY(Table1[[#This Row],[Date]],3)</f>
        <v>0</v>
      </c>
    </row>
    <row r="143" spans="1:9" x14ac:dyDescent="0.3">
      <c r="A143" s="1">
        <v>45470</v>
      </c>
      <c r="B143" t="s">
        <v>14</v>
      </c>
      <c r="C143" t="s">
        <v>24</v>
      </c>
      <c r="D143" t="s">
        <v>21</v>
      </c>
      <c r="E143" t="s">
        <v>19</v>
      </c>
      <c r="F143">
        <v>15</v>
      </c>
      <c r="G143" s="3">
        <v>736.31</v>
      </c>
      <c r="H143" s="4">
        <v>11044.65</v>
      </c>
      <c r="I143" s="18">
        <f>WEEKDAY(Table1[[#This Row],[Date]],3)</f>
        <v>3</v>
      </c>
    </row>
    <row r="144" spans="1:9" x14ac:dyDescent="0.3">
      <c r="A144" s="1">
        <v>45580</v>
      </c>
      <c r="B144" t="s">
        <v>8</v>
      </c>
      <c r="C144" t="s">
        <v>24</v>
      </c>
      <c r="D144" t="s">
        <v>10</v>
      </c>
      <c r="E144" t="s">
        <v>11</v>
      </c>
      <c r="F144">
        <v>4</v>
      </c>
      <c r="G144" s="3">
        <v>1558.34</v>
      </c>
      <c r="H144" s="4">
        <v>6233.36</v>
      </c>
      <c r="I144" s="18">
        <f>WEEKDAY(Table1[[#This Row],[Date]],3)</f>
        <v>1</v>
      </c>
    </row>
    <row r="145" spans="1:9" x14ac:dyDescent="0.3">
      <c r="A145" s="1">
        <v>45388</v>
      </c>
      <c r="B145" t="s">
        <v>28</v>
      </c>
      <c r="C145" t="s">
        <v>13</v>
      </c>
      <c r="D145" t="s">
        <v>10</v>
      </c>
      <c r="E145" t="s">
        <v>26</v>
      </c>
      <c r="F145">
        <v>4</v>
      </c>
      <c r="G145" s="3">
        <v>1041.93</v>
      </c>
      <c r="H145" s="4">
        <v>4167.72</v>
      </c>
      <c r="I145" s="18">
        <f>WEEKDAY(Table1[[#This Row],[Date]],3)</f>
        <v>5</v>
      </c>
    </row>
    <row r="146" spans="1:9" x14ac:dyDescent="0.3">
      <c r="A146" s="1">
        <v>45301</v>
      </c>
      <c r="B146" t="s">
        <v>28</v>
      </c>
      <c r="C146" t="s">
        <v>13</v>
      </c>
      <c r="D146" t="s">
        <v>15</v>
      </c>
      <c r="E146" t="s">
        <v>26</v>
      </c>
      <c r="F146">
        <v>6</v>
      </c>
      <c r="G146" s="3">
        <v>1021.89</v>
      </c>
      <c r="H146" s="4">
        <v>6131.34</v>
      </c>
      <c r="I146" s="18">
        <f>WEEKDAY(Table1[[#This Row],[Date]],3)</f>
        <v>2</v>
      </c>
    </row>
    <row r="147" spans="1:9" x14ac:dyDescent="0.3">
      <c r="A147" s="1">
        <v>45594</v>
      </c>
      <c r="B147" t="s">
        <v>8</v>
      </c>
      <c r="C147" t="s">
        <v>9</v>
      </c>
      <c r="D147" t="s">
        <v>21</v>
      </c>
      <c r="E147" t="s">
        <v>19</v>
      </c>
      <c r="F147">
        <v>15</v>
      </c>
      <c r="G147" s="3">
        <v>1414.05</v>
      </c>
      <c r="H147" s="4">
        <v>21210.75</v>
      </c>
      <c r="I147" s="18">
        <f>WEEKDAY(Table1[[#This Row],[Date]],3)</f>
        <v>1</v>
      </c>
    </row>
    <row r="148" spans="1:9" x14ac:dyDescent="0.3">
      <c r="A148" s="1">
        <v>45552</v>
      </c>
      <c r="B148" t="s">
        <v>8</v>
      </c>
      <c r="C148" t="s">
        <v>9</v>
      </c>
      <c r="D148" t="s">
        <v>15</v>
      </c>
      <c r="E148" t="s">
        <v>11</v>
      </c>
      <c r="F148">
        <v>19</v>
      </c>
      <c r="G148" s="3">
        <v>1339.64</v>
      </c>
      <c r="H148" s="4">
        <v>25453.16</v>
      </c>
      <c r="I148" s="18">
        <f>WEEKDAY(Table1[[#This Row],[Date]],3)</f>
        <v>1</v>
      </c>
    </row>
    <row r="149" spans="1:9" x14ac:dyDescent="0.3">
      <c r="A149" s="1">
        <v>45583</v>
      </c>
      <c r="B149" t="s">
        <v>12</v>
      </c>
      <c r="C149" t="s">
        <v>13</v>
      </c>
      <c r="D149" t="s">
        <v>10</v>
      </c>
      <c r="E149" t="s">
        <v>16</v>
      </c>
      <c r="F149">
        <v>11</v>
      </c>
      <c r="G149" s="3">
        <v>1147.9000000000001</v>
      </c>
      <c r="H149" s="4">
        <v>12626.9</v>
      </c>
      <c r="I149" s="18">
        <f>WEEKDAY(Table1[[#This Row],[Date]],3)</f>
        <v>4</v>
      </c>
    </row>
    <row r="150" spans="1:9" x14ac:dyDescent="0.3">
      <c r="A150" s="1">
        <v>45651</v>
      </c>
      <c r="B150" t="s">
        <v>29</v>
      </c>
      <c r="C150" t="s">
        <v>24</v>
      </c>
      <c r="D150" t="s">
        <v>21</v>
      </c>
      <c r="E150" t="s">
        <v>22</v>
      </c>
      <c r="F150">
        <v>14</v>
      </c>
      <c r="G150" s="3">
        <v>3741.4</v>
      </c>
      <c r="H150" s="4">
        <v>52379.6</v>
      </c>
      <c r="I150" s="18">
        <f>WEEKDAY(Table1[[#This Row],[Date]],3)</f>
        <v>2</v>
      </c>
    </row>
    <row r="151" spans="1:9" x14ac:dyDescent="0.3">
      <c r="A151" s="1">
        <v>45509</v>
      </c>
      <c r="B151" t="s">
        <v>14</v>
      </c>
      <c r="C151" t="s">
        <v>24</v>
      </c>
      <c r="D151" t="s">
        <v>15</v>
      </c>
      <c r="E151" t="s">
        <v>26</v>
      </c>
      <c r="F151">
        <v>1</v>
      </c>
      <c r="G151" s="3">
        <v>426.52</v>
      </c>
      <c r="H151" s="4">
        <v>426.52</v>
      </c>
      <c r="I151" s="18">
        <f>WEEKDAY(Table1[[#This Row],[Date]],3)</f>
        <v>0</v>
      </c>
    </row>
    <row r="152" spans="1:9" x14ac:dyDescent="0.3">
      <c r="A152" s="1">
        <v>45607</v>
      </c>
      <c r="B152" t="s">
        <v>8</v>
      </c>
      <c r="C152" t="s">
        <v>9</v>
      </c>
      <c r="D152" t="s">
        <v>21</v>
      </c>
      <c r="E152" t="s">
        <v>16</v>
      </c>
      <c r="F152">
        <v>8</v>
      </c>
      <c r="G152" s="3">
        <v>1308.98</v>
      </c>
      <c r="H152" s="4">
        <v>10471.84</v>
      </c>
      <c r="I152" s="18">
        <f>WEEKDAY(Table1[[#This Row],[Date]],3)</f>
        <v>0</v>
      </c>
    </row>
    <row r="153" spans="1:9" x14ac:dyDescent="0.3">
      <c r="A153" s="1">
        <v>45383</v>
      </c>
      <c r="B153" t="s">
        <v>12</v>
      </c>
      <c r="C153" t="s">
        <v>9</v>
      </c>
      <c r="D153" t="s">
        <v>15</v>
      </c>
      <c r="E153" t="s">
        <v>11</v>
      </c>
      <c r="F153">
        <v>14</v>
      </c>
      <c r="G153" s="3">
        <v>1134.56</v>
      </c>
      <c r="H153" s="4">
        <v>15883.84</v>
      </c>
      <c r="I153" s="18">
        <f>WEEKDAY(Table1[[#This Row],[Date]],3)</f>
        <v>0</v>
      </c>
    </row>
    <row r="154" spans="1:9" x14ac:dyDescent="0.3">
      <c r="A154" s="1">
        <v>45505</v>
      </c>
      <c r="B154" t="s">
        <v>23</v>
      </c>
      <c r="C154" t="s">
        <v>9</v>
      </c>
      <c r="D154" t="s">
        <v>15</v>
      </c>
      <c r="E154" t="s">
        <v>16</v>
      </c>
      <c r="F154">
        <v>14</v>
      </c>
      <c r="G154" s="3">
        <v>1217.69</v>
      </c>
      <c r="H154" s="4">
        <v>17047.66</v>
      </c>
      <c r="I154" s="18">
        <f>WEEKDAY(Table1[[#This Row],[Date]],3)</f>
        <v>3</v>
      </c>
    </row>
    <row r="155" spans="1:9" x14ac:dyDescent="0.3">
      <c r="A155" s="1">
        <v>45604</v>
      </c>
      <c r="B155" t="s">
        <v>25</v>
      </c>
      <c r="C155" t="s">
        <v>13</v>
      </c>
      <c r="D155" t="s">
        <v>15</v>
      </c>
      <c r="E155" t="s">
        <v>11</v>
      </c>
      <c r="F155">
        <v>8</v>
      </c>
      <c r="G155" s="3">
        <v>15971.05</v>
      </c>
      <c r="H155" s="4">
        <v>127768.4</v>
      </c>
      <c r="I155" s="18">
        <f>WEEKDAY(Table1[[#This Row],[Date]],3)</f>
        <v>4</v>
      </c>
    </row>
    <row r="156" spans="1:9" x14ac:dyDescent="0.3">
      <c r="A156" s="1">
        <v>45600</v>
      </c>
      <c r="B156" t="s">
        <v>20</v>
      </c>
      <c r="C156" t="s">
        <v>24</v>
      </c>
      <c r="D156" t="s">
        <v>21</v>
      </c>
      <c r="E156" t="s">
        <v>26</v>
      </c>
      <c r="F156">
        <v>9</v>
      </c>
      <c r="G156" s="3">
        <v>3842.8</v>
      </c>
      <c r="H156" s="4">
        <v>34585.199999999997</v>
      </c>
      <c r="I156" s="18">
        <f>WEEKDAY(Table1[[#This Row],[Date]],3)</f>
        <v>0</v>
      </c>
    </row>
    <row r="157" spans="1:9" x14ac:dyDescent="0.3">
      <c r="A157" s="1">
        <v>45535</v>
      </c>
      <c r="B157" t="s">
        <v>20</v>
      </c>
      <c r="C157" t="s">
        <v>24</v>
      </c>
      <c r="D157" t="s">
        <v>10</v>
      </c>
      <c r="E157" t="s">
        <v>22</v>
      </c>
      <c r="F157">
        <v>7</v>
      </c>
      <c r="G157" s="3">
        <v>4540.8599999999997</v>
      </c>
      <c r="H157" s="4">
        <v>31786.02</v>
      </c>
      <c r="I157" s="18">
        <f>WEEKDAY(Table1[[#This Row],[Date]],3)</f>
        <v>5</v>
      </c>
    </row>
    <row r="158" spans="1:9" x14ac:dyDescent="0.3">
      <c r="A158" s="1">
        <v>45638</v>
      </c>
      <c r="B158" t="s">
        <v>25</v>
      </c>
      <c r="C158" t="s">
        <v>13</v>
      </c>
      <c r="D158" t="s">
        <v>10</v>
      </c>
      <c r="E158" t="s">
        <v>19</v>
      </c>
      <c r="F158">
        <v>19</v>
      </c>
      <c r="G158" s="3">
        <v>12734.04</v>
      </c>
      <c r="H158" s="4">
        <v>241946.76</v>
      </c>
      <c r="I158" s="18">
        <f>WEEKDAY(Table1[[#This Row],[Date]],3)</f>
        <v>3</v>
      </c>
    </row>
    <row r="159" spans="1:9" x14ac:dyDescent="0.3">
      <c r="A159" s="1">
        <v>45316</v>
      </c>
      <c r="B159" t="s">
        <v>23</v>
      </c>
      <c r="C159" t="s">
        <v>24</v>
      </c>
      <c r="D159" t="s">
        <v>18</v>
      </c>
      <c r="E159" t="s">
        <v>26</v>
      </c>
      <c r="F159">
        <v>17</v>
      </c>
      <c r="G159" s="3">
        <v>1752.45</v>
      </c>
      <c r="H159" s="4">
        <v>29791.65</v>
      </c>
      <c r="I159" s="18">
        <f>WEEKDAY(Table1[[#This Row],[Date]],3)</f>
        <v>3</v>
      </c>
    </row>
    <row r="160" spans="1:9" x14ac:dyDescent="0.3">
      <c r="A160" s="1">
        <v>45441</v>
      </c>
      <c r="B160" t="s">
        <v>12</v>
      </c>
      <c r="C160" t="s">
        <v>24</v>
      </c>
      <c r="D160" t="s">
        <v>18</v>
      </c>
      <c r="E160" t="s">
        <v>26</v>
      </c>
      <c r="F160">
        <v>7</v>
      </c>
      <c r="G160" s="3">
        <v>1156.79</v>
      </c>
      <c r="H160" s="4">
        <v>8097.53</v>
      </c>
      <c r="I160" s="18">
        <f>WEEKDAY(Table1[[#This Row],[Date]],3)</f>
        <v>2</v>
      </c>
    </row>
    <row r="161" spans="1:9" x14ac:dyDescent="0.3">
      <c r="A161" s="1">
        <v>45652</v>
      </c>
      <c r="B161" t="s">
        <v>25</v>
      </c>
      <c r="C161" t="s">
        <v>24</v>
      </c>
      <c r="D161" t="s">
        <v>15</v>
      </c>
      <c r="E161" t="s">
        <v>19</v>
      </c>
      <c r="F161">
        <v>8</v>
      </c>
      <c r="G161" s="3">
        <v>15019.76</v>
      </c>
      <c r="H161" s="4">
        <v>120158.08</v>
      </c>
      <c r="I161" s="18">
        <f>WEEKDAY(Table1[[#This Row],[Date]],3)</f>
        <v>3</v>
      </c>
    </row>
    <row r="162" spans="1:9" x14ac:dyDescent="0.3">
      <c r="A162" s="1">
        <v>45548</v>
      </c>
      <c r="B162" t="s">
        <v>23</v>
      </c>
      <c r="C162" t="s">
        <v>13</v>
      </c>
      <c r="D162" t="s">
        <v>10</v>
      </c>
      <c r="E162" t="s">
        <v>11</v>
      </c>
      <c r="F162">
        <v>17</v>
      </c>
      <c r="G162" s="3">
        <v>1082.8900000000001</v>
      </c>
      <c r="H162" s="4">
        <v>18409.13</v>
      </c>
      <c r="I162" s="18">
        <f>WEEKDAY(Table1[[#This Row],[Date]],3)</f>
        <v>4</v>
      </c>
    </row>
    <row r="163" spans="1:9" x14ac:dyDescent="0.3">
      <c r="A163" s="1">
        <v>45577</v>
      </c>
      <c r="B163" t="s">
        <v>14</v>
      </c>
      <c r="C163" t="s">
        <v>13</v>
      </c>
      <c r="D163" t="s">
        <v>15</v>
      </c>
      <c r="E163" t="s">
        <v>26</v>
      </c>
      <c r="F163">
        <v>14</v>
      </c>
      <c r="G163" s="3">
        <v>677.06</v>
      </c>
      <c r="H163" s="4">
        <v>9478.84</v>
      </c>
      <c r="I163" s="18">
        <f>WEEKDAY(Table1[[#This Row],[Date]],3)</f>
        <v>5</v>
      </c>
    </row>
    <row r="164" spans="1:9" x14ac:dyDescent="0.3">
      <c r="A164" s="1">
        <v>45485</v>
      </c>
      <c r="B164" t="s">
        <v>29</v>
      </c>
      <c r="C164" t="s">
        <v>9</v>
      </c>
      <c r="D164" t="s">
        <v>15</v>
      </c>
      <c r="E164" t="s">
        <v>11</v>
      </c>
      <c r="F164">
        <v>4</v>
      </c>
      <c r="G164" s="3">
        <v>2832.05</v>
      </c>
      <c r="H164" s="4">
        <v>11328.2</v>
      </c>
      <c r="I164" s="18">
        <f>WEEKDAY(Table1[[#This Row],[Date]],3)</f>
        <v>4</v>
      </c>
    </row>
    <row r="165" spans="1:9" x14ac:dyDescent="0.3">
      <c r="A165" s="1">
        <v>45346</v>
      </c>
      <c r="B165" t="s">
        <v>23</v>
      </c>
      <c r="C165" t="s">
        <v>13</v>
      </c>
      <c r="D165" t="s">
        <v>21</v>
      </c>
      <c r="E165" t="s">
        <v>22</v>
      </c>
      <c r="F165">
        <v>10</v>
      </c>
      <c r="G165" s="3">
        <v>1857.69</v>
      </c>
      <c r="H165" s="4">
        <v>18576.900000000001</v>
      </c>
      <c r="I165" s="18">
        <f>WEEKDAY(Table1[[#This Row],[Date]],3)</f>
        <v>5</v>
      </c>
    </row>
    <row r="166" spans="1:9" x14ac:dyDescent="0.3">
      <c r="A166" s="1">
        <v>45453</v>
      </c>
      <c r="B166" t="s">
        <v>25</v>
      </c>
      <c r="C166" t="s">
        <v>13</v>
      </c>
      <c r="D166" t="s">
        <v>10</v>
      </c>
      <c r="E166" t="s">
        <v>19</v>
      </c>
      <c r="F166">
        <v>18</v>
      </c>
      <c r="G166" s="3">
        <v>18302.939999999999</v>
      </c>
      <c r="H166" s="4">
        <v>329452.92</v>
      </c>
      <c r="I166" s="18">
        <f>WEEKDAY(Table1[[#This Row],[Date]],3)</f>
        <v>0</v>
      </c>
    </row>
    <row r="167" spans="1:9" x14ac:dyDescent="0.3">
      <c r="A167" s="1">
        <v>45299</v>
      </c>
      <c r="B167" t="s">
        <v>25</v>
      </c>
      <c r="C167" t="s">
        <v>9</v>
      </c>
      <c r="D167" t="s">
        <v>10</v>
      </c>
      <c r="E167" t="s">
        <v>11</v>
      </c>
      <c r="F167">
        <v>8</v>
      </c>
      <c r="G167" s="3">
        <v>11436.98</v>
      </c>
      <c r="H167" s="4">
        <v>91495.84</v>
      </c>
      <c r="I167" s="18">
        <f>WEEKDAY(Table1[[#This Row],[Date]],3)</f>
        <v>0</v>
      </c>
    </row>
    <row r="168" spans="1:9" x14ac:dyDescent="0.3">
      <c r="A168" s="1">
        <v>45530</v>
      </c>
      <c r="B168" t="s">
        <v>28</v>
      </c>
      <c r="C168" t="s">
        <v>13</v>
      </c>
      <c r="D168" t="s">
        <v>10</v>
      </c>
      <c r="E168" t="s">
        <v>26</v>
      </c>
      <c r="F168">
        <v>15</v>
      </c>
      <c r="G168" s="3">
        <v>1132.49</v>
      </c>
      <c r="H168" s="4">
        <v>16987.349999999999</v>
      </c>
      <c r="I168" s="18">
        <f>WEEKDAY(Table1[[#This Row],[Date]],3)</f>
        <v>0</v>
      </c>
    </row>
    <row r="169" spans="1:9" x14ac:dyDescent="0.3">
      <c r="A169" s="1">
        <v>45582</v>
      </c>
      <c r="B169" t="s">
        <v>14</v>
      </c>
      <c r="C169" t="s">
        <v>24</v>
      </c>
      <c r="D169" t="s">
        <v>21</v>
      </c>
      <c r="E169" t="s">
        <v>11</v>
      </c>
      <c r="F169">
        <v>16</v>
      </c>
      <c r="G169" s="3">
        <v>562.99</v>
      </c>
      <c r="H169" s="4">
        <v>9007.84</v>
      </c>
      <c r="I169" s="18">
        <f>WEEKDAY(Table1[[#This Row],[Date]],3)</f>
        <v>3</v>
      </c>
    </row>
    <row r="170" spans="1:9" x14ac:dyDescent="0.3">
      <c r="A170" s="1">
        <v>45456</v>
      </c>
      <c r="B170" t="s">
        <v>29</v>
      </c>
      <c r="C170" t="s">
        <v>9</v>
      </c>
      <c r="D170" t="s">
        <v>15</v>
      </c>
      <c r="E170" t="s">
        <v>22</v>
      </c>
      <c r="F170">
        <v>7</v>
      </c>
      <c r="G170" s="3">
        <v>3779.81</v>
      </c>
      <c r="H170" s="4">
        <v>26458.67</v>
      </c>
      <c r="I170" s="18">
        <f>WEEKDAY(Table1[[#This Row],[Date]],3)</f>
        <v>3</v>
      </c>
    </row>
    <row r="171" spans="1:9" x14ac:dyDescent="0.3">
      <c r="A171" s="1">
        <v>45452</v>
      </c>
      <c r="B171" t="s">
        <v>23</v>
      </c>
      <c r="C171" t="s">
        <v>9</v>
      </c>
      <c r="D171" t="s">
        <v>10</v>
      </c>
      <c r="E171" t="s">
        <v>16</v>
      </c>
      <c r="F171">
        <v>19</v>
      </c>
      <c r="G171" s="3">
        <v>1574.74</v>
      </c>
      <c r="H171" s="4">
        <v>29920.06</v>
      </c>
      <c r="I171" s="18">
        <f>WEEKDAY(Table1[[#This Row],[Date]],3)</f>
        <v>6</v>
      </c>
    </row>
    <row r="172" spans="1:9" x14ac:dyDescent="0.3">
      <c r="A172" s="1">
        <v>45479</v>
      </c>
      <c r="B172" t="s">
        <v>17</v>
      </c>
      <c r="C172" t="s">
        <v>24</v>
      </c>
      <c r="D172" t="s">
        <v>18</v>
      </c>
      <c r="E172" t="s">
        <v>16</v>
      </c>
      <c r="F172">
        <v>11</v>
      </c>
      <c r="G172" s="3">
        <v>2139.14</v>
      </c>
      <c r="H172" s="4">
        <v>23530.54</v>
      </c>
      <c r="I172" s="18">
        <f>WEEKDAY(Table1[[#This Row],[Date]],3)</f>
        <v>5</v>
      </c>
    </row>
    <row r="173" spans="1:9" x14ac:dyDescent="0.3">
      <c r="A173" s="1">
        <v>45486</v>
      </c>
      <c r="B173" t="s">
        <v>23</v>
      </c>
      <c r="C173" t="s">
        <v>13</v>
      </c>
      <c r="D173" t="s">
        <v>21</v>
      </c>
      <c r="E173" t="s">
        <v>19</v>
      </c>
      <c r="F173">
        <v>5</v>
      </c>
      <c r="G173" s="3">
        <v>1360.67</v>
      </c>
      <c r="H173" s="4">
        <v>6803.35</v>
      </c>
      <c r="I173" s="18">
        <f>WEEKDAY(Table1[[#This Row],[Date]],3)</f>
        <v>5</v>
      </c>
    </row>
    <row r="174" spans="1:9" x14ac:dyDescent="0.3">
      <c r="A174" s="1">
        <v>45547</v>
      </c>
      <c r="B174" t="s">
        <v>20</v>
      </c>
      <c r="C174" t="s">
        <v>24</v>
      </c>
      <c r="D174" t="s">
        <v>18</v>
      </c>
      <c r="E174" t="s">
        <v>19</v>
      </c>
      <c r="F174">
        <v>3</v>
      </c>
      <c r="G174" s="3">
        <v>6345.36</v>
      </c>
      <c r="H174" s="4">
        <v>19036.080000000002</v>
      </c>
      <c r="I174" s="18">
        <f>WEEKDAY(Table1[[#This Row],[Date]],3)</f>
        <v>3</v>
      </c>
    </row>
    <row r="175" spans="1:9" x14ac:dyDescent="0.3">
      <c r="A175" s="1">
        <v>45633</v>
      </c>
      <c r="B175" t="s">
        <v>14</v>
      </c>
      <c r="C175" t="s">
        <v>9</v>
      </c>
      <c r="D175" t="s">
        <v>15</v>
      </c>
      <c r="E175" t="s">
        <v>11</v>
      </c>
      <c r="F175">
        <v>14</v>
      </c>
      <c r="G175" s="3">
        <v>589.58000000000004</v>
      </c>
      <c r="H175" s="4">
        <v>8254.1200000000008</v>
      </c>
      <c r="I175" s="18">
        <f>WEEKDAY(Table1[[#This Row],[Date]],3)</f>
        <v>5</v>
      </c>
    </row>
    <row r="176" spans="1:9" x14ac:dyDescent="0.3">
      <c r="A176" s="1">
        <v>45515</v>
      </c>
      <c r="B176" t="s">
        <v>25</v>
      </c>
      <c r="C176" t="s">
        <v>24</v>
      </c>
      <c r="D176" t="s">
        <v>10</v>
      </c>
      <c r="E176" t="s">
        <v>26</v>
      </c>
      <c r="F176">
        <v>14</v>
      </c>
      <c r="G176" s="3">
        <v>17175.18</v>
      </c>
      <c r="H176" s="4">
        <v>240452.52</v>
      </c>
      <c r="I176" s="18">
        <f>WEEKDAY(Table1[[#This Row],[Date]],3)</f>
        <v>6</v>
      </c>
    </row>
    <row r="177" spans="1:9" x14ac:dyDescent="0.3">
      <c r="A177" s="1">
        <v>45528</v>
      </c>
      <c r="B177" t="s">
        <v>20</v>
      </c>
      <c r="C177" t="s">
        <v>13</v>
      </c>
      <c r="D177" t="s">
        <v>18</v>
      </c>
      <c r="E177" t="s">
        <v>11</v>
      </c>
      <c r="F177">
        <v>14</v>
      </c>
      <c r="G177" s="3">
        <v>6453.21</v>
      </c>
      <c r="H177" s="4">
        <v>90344.94</v>
      </c>
      <c r="I177" s="18">
        <f>WEEKDAY(Table1[[#This Row],[Date]],3)</f>
        <v>5</v>
      </c>
    </row>
    <row r="178" spans="1:9" x14ac:dyDescent="0.3">
      <c r="A178" s="1">
        <v>45320</v>
      </c>
      <c r="B178" t="s">
        <v>17</v>
      </c>
      <c r="C178" t="s">
        <v>13</v>
      </c>
      <c r="D178" t="s">
        <v>18</v>
      </c>
      <c r="E178" t="s">
        <v>11</v>
      </c>
      <c r="F178">
        <v>6</v>
      </c>
      <c r="G178" s="3">
        <v>3121.45</v>
      </c>
      <c r="H178" s="4">
        <v>18728.7</v>
      </c>
      <c r="I178" s="18">
        <f>WEEKDAY(Table1[[#This Row],[Date]],3)</f>
        <v>0</v>
      </c>
    </row>
    <row r="179" spans="1:9" x14ac:dyDescent="0.3">
      <c r="A179" s="1">
        <v>45632</v>
      </c>
      <c r="B179" t="s">
        <v>12</v>
      </c>
      <c r="C179" t="s">
        <v>9</v>
      </c>
      <c r="D179" t="s">
        <v>15</v>
      </c>
      <c r="E179" t="s">
        <v>22</v>
      </c>
      <c r="F179">
        <v>17</v>
      </c>
      <c r="G179" s="3">
        <v>848.83</v>
      </c>
      <c r="H179" s="4">
        <v>14430.11</v>
      </c>
      <c r="I179" s="18">
        <f>WEEKDAY(Table1[[#This Row],[Date]],3)</f>
        <v>4</v>
      </c>
    </row>
    <row r="180" spans="1:9" x14ac:dyDescent="0.3">
      <c r="A180" s="1">
        <v>45367</v>
      </c>
      <c r="B180" t="s">
        <v>23</v>
      </c>
      <c r="C180" t="s">
        <v>9</v>
      </c>
      <c r="D180" t="s">
        <v>15</v>
      </c>
      <c r="E180" t="s">
        <v>16</v>
      </c>
      <c r="F180">
        <v>6</v>
      </c>
      <c r="G180" s="3">
        <v>1708.97</v>
      </c>
      <c r="H180" s="4">
        <v>10253.82</v>
      </c>
      <c r="I180" s="18">
        <f>WEEKDAY(Table1[[#This Row],[Date]],3)</f>
        <v>5</v>
      </c>
    </row>
    <row r="181" spans="1:9" x14ac:dyDescent="0.3">
      <c r="A181" s="1">
        <v>45389</v>
      </c>
      <c r="B181" t="s">
        <v>20</v>
      </c>
      <c r="C181" t="s">
        <v>9</v>
      </c>
      <c r="D181" t="s">
        <v>10</v>
      </c>
      <c r="E181" t="s">
        <v>22</v>
      </c>
      <c r="F181">
        <v>13</v>
      </c>
      <c r="G181" s="3">
        <v>6014.32</v>
      </c>
      <c r="H181" s="4">
        <v>78186.16</v>
      </c>
      <c r="I181" s="18">
        <f>WEEKDAY(Table1[[#This Row],[Date]],3)</f>
        <v>6</v>
      </c>
    </row>
    <row r="182" spans="1:9" x14ac:dyDescent="0.3">
      <c r="A182" s="1">
        <v>45481</v>
      </c>
      <c r="B182" t="s">
        <v>12</v>
      </c>
      <c r="C182" t="s">
        <v>24</v>
      </c>
      <c r="D182" t="s">
        <v>21</v>
      </c>
      <c r="E182" t="s">
        <v>22</v>
      </c>
      <c r="F182">
        <v>11</v>
      </c>
      <c r="G182" s="3">
        <v>729.56</v>
      </c>
      <c r="H182" s="4">
        <v>8025.16</v>
      </c>
      <c r="I182" s="18">
        <f>WEEKDAY(Table1[[#This Row],[Date]],3)</f>
        <v>0</v>
      </c>
    </row>
    <row r="183" spans="1:9" x14ac:dyDescent="0.3">
      <c r="A183" s="1">
        <v>45472</v>
      </c>
      <c r="B183" t="s">
        <v>8</v>
      </c>
      <c r="C183" t="s">
        <v>13</v>
      </c>
      <c r="D183" t="s">
        <v>15</v>
      </c>
      <c r="E183" t="s">
        <v>16</v>
      </c>
      <c r="F183">
        <v>11</v>
      </c>
      <c r="G183" s="3">
        <v>1047.8599999999999</v>
      </c>
      <c r="H183" s="4">
        <v>11526.46</v>
      </c>
      <c r="I183" s="18">
        <f>WEEKDAY(Table1[[#This Row],[Date]],3)</f>
        <v>5</v>
      </c>
    </row>
    <row r="184" spans="1:9" x14ac:dyDescent="0.3">
      <c r="A184" s="1">
        <v>45455</v>
      </c>
      <c r="B184" t="s">
        <v>25</v>
      </c>
      <c r="C184" t="s">
        <v>13</v>
      </c>
      <c r="D184" t="s">
        <v>10</v>
      </c>
      <c r="E184" t="s">
        <v>11</v>
      </c>
      <c r="F184">
        <v>2</v>
      </c>
      <c r="G184" s="3">
        <v>14069.84</v>
      </c>
      <c r="H184" s="4">
        <v>28139.68</v>
      </c>
      <c r="I184" s="18">
        <f>WEEKDAY(Table1[[#This Row],[Date]],3)</f>
        <v>2</v>
      </c>
    </row>
    <row r="185" spans="1:9" x14ac:dyDescent="0.3">
      <c r="A185" s="1">
        <v>45443</v>
      </c>
      <c r="B185" t="s">
        <v>29</v>
      </c>
      <c r="C185" t="s">
        <v>24</v>
      </c>
      <c r="D185" t="s">
        <v>18</v>
      </c>
      <c r="E185" t="s">
        <v>26</v>
      </c>
      <c r="F185">
        <v>4</v>
      </c>
      <c r="G185" s="3">
        <v>3583.67</v>
      </c>
      <c r="H185" s="4">
        <v>14334.68</v>
      </c>
      <c r="I185" s="18">
        <f>WEEKDAY(Table1[[#This Row],[Date]],3)</f>
        <v>4</v>
      </c>
    </row>
    <row r="186" spans="1:9" x14ac:dyDescent="0.3">
      <c r="A186" s="1">
        <v>45518</v>
      </c>
      <c r="B186" t="s">
        <v>8</v>
      </c>
      <c r="C186" t="s">
        <v>13</v>
      </c>
      <c r="D186" t="s">
        <v>18</v>
      </c>
      <c r="E186" t="s">
        <v>11</v>
      </c>
      <c r="F186">
        <v>13</v>
      </c>
      <c r="G186" s="3">
        <v>951.36</v>
      </c>
      <c r="H186" s="4">
        <v>12367.68</v>
      </c>
      <c r="I186" s="18">
        <f>WEEKDAY(Table1[[#This Row],[Date]],3)</f>
        <v>2</v>
      </c>
    </row>
    <row r="187" spans="1:9" x14ac:dyDescent="0.3">
      <c r="A187" s="1">
        <v>45492</v>
      </c>
      <c r="B187" t="s">
        <v>12</v>
      </c>
      <c r="C187" t="s">
        <v>24</v>
      </c>
      <c r="D187" t="s">
        <v>18</v>
      </c>
      <c r="E187" t="s">
        <v>26</v>
      </c>
      <c r="F187">
        <v>9</v>
      </c>
      <c r="G187" s="3">
        <v>819.83</v>
      </c>
      <c r="H187" s="4">
        <v>7378.47</v>
      </c>
      <c r="I187" s="18">
        <f>WEEKDAY(Table1[[#This Row],[Date]],3)</f>
        <v>4</v>
      </c>
    </row>
    <row r="188" spans="1:9" x14ac:dyDescent="0.3">
      <c r="A188" s="1">
        <v>45420</v>
      </c>
      <c r="B188" t="s">
        <v>20</v>
      </c>
      <c r="C188" t="s">
        <v>9</v>
      </c>
      <c r="D188" t="s">
        <v>10</v>
      </c>
      <c r="E188" t="s">
        <v>22</v>
      </c>
      <c r="F188">
        <v>7</v>
      </c>
      <c r="G188" s="3">
        <v>3727.8</v>
      </c>
      <c r="H188" s="4">
        <v>26094.6</v>
      </c>
      <c r="I188" s="18">
        <f>WEEKDAY(Table1[[#This Row],[Date]],3)</f>
        <v>2</v>
      </c>
    </row>
    <row r="189" spans="1:9" x14ac:dyDescent="0.3">
      <c r="A189" s="1">
        <v>45520</v>
      </c>
      <c r="B189" t="s">
        <v>27</v>
      </c>
      <c r="C189" t="s">
        <v>24</v>
      </c>
      <c r="D189" t="s">
        <v>15</v>
      </c>
      <c r="E189" t="s">
        <v>22</v>
      </c>
      <c r="F189">
        <v>12</v>
      </c>
      <c r="G189" s="3">
        <v>733.27</v>
      </c>
      <c r="H189" s="4">
        <v>8799.24</v>
      </c>
      <c r="I189" s="18">
        <f>WEEKDAY(Table1[[#This Row],[Date]],3)</f>
        <v>4</v>
      </c>
    </row>
    <row r="190" spans="1:9" x14ac:dyDescent="0.3">
      <c r="A190" s="1">
        <v>45335</v>
      </c>
      <c r="B190" t="s">
        <v>25</v>
      </c>
      <c r="C190" t="s">
        <v>9</v>
      </c>
      <c r="D190" t="s">
        <v>18</v>
      </c>
      <c r="E190" t="s">
        <v>22</v>
      </c>
      <c r="F190">
        <v>17</v>
      </c>
      <c r="G190" s="3">
        <v>12166.2</v>
      </c>
      <c r="H190" s="4">
        <v>206825.4</v>
      </c>
      <c r="I190" s="18">
        <f>WEEKDAY(Table1[[#This Row],[Date]],3)</f>
        <v>1</v>
      </c>
    </row>
    <row r="191" spans="1:9" x14ac:dyDescent="0.3">
      <c r="A191" s="1">
        <v>45609</v>
      </c>
      <c r="B191" t="s">
        <v>14</v>
      </c>
      <c r="C191" t="s">
        <v>13</v>
      </c>
      <c r="D191" t="s">
        <v>21</v>
      </c>
      <c r="E191" t="s">
        <v>16</v>
      </c>
      <c r="F191">
        <v>17</v>
      </c>
      <c r="G191" s="3">
        <v>657.16</v>
      </c>
      <c r="H191" s="4">
        <v>11171.72</v>
      </c>
      <c r="I191" s="18">
        <f>WEEKDAY(Table1[[#This Row],[Date]],3)</f>
        <v>2</v>
      </c>
    </row>
    <row r="192" spans="1:9" x14ac:dyDescent="0.3">
      <c r="A192" s="1">
        <v>45489</v>
      </c>
      <c r="B192" t="s">
        <v>14</v>
      </c>
      <c r="C192" t="s">
        <v>9</v>
      </c>
      <c r="D192" t="s">
        <v>15</v>
      </c>
      <c r="E192" t="s">
        <v>26</v>
      </c>
      <c r="F192">
        <v>12</v>
      </c>
      <c r="G192" s="3">
        <v>499.64</v>
      </c>
      <c r="H192" s="4">
        <v>5995.68</v>
      </c>
      <c r="I192" s="18">
        <f>WEEKDAY(Table1[[#This Row],[Date]],3)</f>
        <v>1</v>
      </c>
    </row>
    <row r="193" spans="1:9" x14ac:dyDescent="0.3">
      <c r="A193" s="1">
        <v>45656</v>
      </c>
      <c r="B193" t="s">
        <v>12</v>
      </c>
      <c r="C193" t="s">
        <v>13</v>
      </c>
      <c r="D193" t="s">
        <v>21</v>
      </c>
      <c r="E193" t="s">
        <v>22</v>
      </c>
      <c r="F193">
        <v>16</v>
      </c>
      <c r="G193" s="3">
        <v>1129.6300000000001</v>
      </c>
      <c r="H193" s="4">
        <v>18074.080000000002</v>
      </c>
      <c r="I193" s="18">
        <f>WEEKDAY(Table1[[#This Row],[Date]],3)</f>
        <v>0</v>
      </c>
    </row>
    <row r="194" spans="1:9" x14ac:dyDescent="0.3">
      <c r="A194" s="1">
        <v>45573</v>
      </c>
      <c r="B194" t="s">
        <v>28</v>
      </c>
      <c r="C194" t="s">
        <v>24</v>
      </c>
      <c r="D194" t="s">
        <v>15</v>
      </c>
      <c r="E194" t="s">
        <v>16</v>
      </c>
      <c r="F194">
        <v>7</v>
      </c>
      <c r="G194" s="3">
        <v>878.41</v>
      </c>
      <c r="H194" s="4">
        <v>6148.87</v>
      </c>
      <c r="I194" s="18">
        <f>WEEKDAY(Table1[[#This Row],[Date]],3)</f>
        <v>1</v>
      </c>
    </row>
    <row r="195" spans="1:9" x14ac:dyDescent="0.3">
      <c r="A195" s="1">
        <v>45467</v>
      </c>
      <c r="B195" t="s">
        <v>14</v>
      </c>
      <c r="C195" t="s">
        <v>24</v>
      </c>
      <c r="D195" t="s">
        <v>10</v>
      </c>
      <c r="E195" t="s">
        <v>16</v>
      </c>
      <c r="F195">
        <v>18</v>
      </c>
      <c r="G195" s="3">
        <v>688.22</v>
      </c>
      <c r="H195" s="4">
        <v>12387.96</v>
      </c>
      <c r="I195" s="18">
        <f>WEEKDAY(Table1[[#This Row],[Date]],3)</f>
        <v>0</v>
      </c>
    </row>
    <row r="196" spans="1:9" x14ac:dyDescent="0.3">
      <c r="A196" s="1">
        <v>45394</v>
      </c>
      <c r="B196" t="s">
        <v>25</v>
      </c>
      <c r="C196" t="s">
        <v>24</v>
      </c>
      <c r="D196" t="s">
        <v>10</v>
      </c>
      <c r="E196" t="s">
        <v>11</v>
      </c>
      <c r="F196">
        <v>12</v>
      </c>
      <c r="G196" s="3">
        <v>11585.1</v>
      </c>
      <c r="H196" s="4">
        <v>139021.20000000001</v>
      </c>
      <c r="I196" s="18">
        <f>WEEKDAY(Table1[[#This Row],[Date]],3)</f>
        <v>4</v>
      </c>
    </row>
    <row r="197" spans="1:9" x14ac:dyDescent="0.3">
      <c r="A197" s="1">
        <v>45389</v>
      </c>
      <c r="B197" t="s">
        <v>27</v>
      </c>
      <c r="C197" t="s">
        <v>9</v>
      </c>
      <c r="D197" t="s">
        <v>10</v>
      </c>
      <c r="E197" t="s">
        <v>22</v>
      </c>
      <c r="F197">
        <v>12</v>
      </c>
      <c r="G197" s="3">
        <v>834.77</v>
      </c>
      <c r="H197" s="4">
        <v>10017.24</v>
      </c>
      <c r="I197" s="18">
        <f>WEEKDAY(Table1[[#This Row],[Date]],3)</f>
        <v>6</v>
      </c>
    </row>
    <row r="198" spans="1:9" x14ac:dyDescent="0.3">
      <c r="A198" s="1">
        <v>45295</v>
      </c>
      <c r="B198" t="s">
        <v>29</v>
      </c>
      <c r="C198" t="s">
        <v>9</v>
      </c>
      <c r="D198" t="s">
        <v>18</v>
      </c>
      <c r="E198" t="s">
        <v>22</v>
      </c>
      <c r="F198">
        <v>1</v>
      </c>
      <c r="G198" s="3">
        <v>4310.55</v>
      </c>
      <c r="H198" s="4">
        <v>4310.55</v>
      </c>
      <c r="I198" s="18">
        <f>WEEKDAY(Table1[[#This Row],[Date]],3)</f>
        <v>3</v>
      </c>
    </row>
    <row r="199" spans="1:9" x14ac:dyDescent="0.3">
      <c r="A199" s="1">
        <v>45399</v>
      </c>
      <c r="B199" t="s">
        <v>17</v>
      </c>
      <c r="C199" t="s">
        <v>13</v>
      </c>
      <c r="D199" t="s">
        <v>10</v>
      </c>
      <c r="E199" t="s">
        <v>22</v>
      </c>
      <c r="F199">
        <v>2</v>
      </c>
      <c r="G199" s="3">
        <v>1781.9</v>
      </c>
      <c r="H199" s="4">
        <v>3563.8</v>
      </c>
      <c r="I199" s="18">
        <f>WEEKDAY(Table1[[#This Row],[Date]],3)</f>
        <v>2</v>
      </c>
    </row>
    <row r="200" spans="1:9" x14ac:dyDescent="0.3">
      <c r="A200" s="1">
        <v>45538</v>
      </c>
      <c r="B200" t="s">
        <v>17</v>
      </c>
      <c r="C200" t="s">
        <v>13</v>
      </c>
      <c r="D200" t="s">
        <v>10</v>
      </c>
      <c r="E200" t="s">
        <v>19</v>
      </c>
      <c r="F200">
        <v>17</v>
      </c>
      <c r="G200" s="3">
        <v>2352.9</v>
      </c>
      <c r="H200" s="4">
        <v>39999.300000000003</v>
      </c>
      <c r="I200" s="18">
        <f>WEEKDAY(Table1[[#This Row],[Date]],3)</f>
        <v>1</v>
      </c>
    </row>
    <row r="201" spans="1:9" x14ac:dyDescent="0.3">
      <c r="A201" s="1">
        <v>45536</v>
      </c>
      <c r="B201" t="s">
        <v>20</v>
      </c>
      <c r="C201" t="s">
        <v>13</v>
      </c>
      <c r="D201" t="s">
        <v>18</v>
      </c>
      <c r="E201" t="s">
        <v>22</v>
      </c>
      <c r="F201">
        <v>7</v>
      </c>
      <c r="G201" s="3">
        <v>5067.5600000000004</v>
      </c>
      <c r="H201" s="4">
        <v>35472.92</v>
      </c>
      <c r="I201" s="18">
        <f>WEEKDAY(Table1[[#This Row],[Date]],3)</f>
        <v>6</v>
      </c>
    </row>
    <row r="202" spans="1:9" x14ac:dyDescent="0.3">
      <c r="A202" s="1">
        <v>45356</v>
      </c>
      <c r="B202" t="s">
        <v>25</v>
      </c>
      <c r="C202" t="s">
        <v>13</v>
      </c>
      <c r="D202" t="s">
        <v>18</v>
      </c>
      <c r="E202" t="s">
        <v>22</v>
      </c>
      <c r="F202">
        <v>4</v>
      </c>
      <c r="G202" s="3">
        <v>16939.98</v>
      </c>
      <c r="H202" s="4">
        <v>67759.92</v>
      </c>
      <c r="I202" s="18">
        <f>WEEKDAY(Table1[[#This Row],[Date]],3)</f>
        <v>1</v>
      </c>
    </row>
    <row r="203" spans="1:9" x14ac:dyDescent="0.3">
      <c r="A203" s="1">
        <v>45584</v>
      </c>
      <c r="B203" t="s">
        <v>20</v>
      </c>
      <c r="C203" t="s">
        <v>9</v>
      </c>
      <c r="D203" t="s">
        <v>18</v>
      </c>
      <c r="E203" t="s">
        <v>26</v>
      </c>
      <c r="F203">
        <v>15</v>
      </c>
      <c r="G203" s="3">
        <v>4652.9799999999996</v>
      </c>
      <c r="H203" s="4">
        <v>69794.7</v>
      </c>
      <c r="I203" s="18">
        <f>WEEKDAY(Table1[[#This Row],[Date]],3)</f>
        <v>5</v>
      </c>
    </row>
    <row r="204" spans="1:9" x14ac:dyDescent="0.3">
      <c r="A204" s="1">
        <v>45635</v>
      </c>
      <c r="B204" t="s">
        <v>8</v>
      </c>
      <c r="C204" t="s">
        <v>13</v>
      </c>
      <c r="D204" t="s">
        <v>15</v>
      </c>
      <c r="E204" t="s">
        <v>16</v>
      </c>
      <c r="F204">
        <v>5</v>
      </c>
      <c r="G204" s="3">
        <v>904.38</v>
      </c>
      <c r="H204" s="4">
        <v>4521.8999999999996</v>
      </c>
      <c r="I204" s="18">
        <f>WEEKDAY(Table1[[#This Row],[Date]],3)</f>
        <v>0</v>
      </c>
    </row>
    <row r="205" spans="1:9" x14ac:dyDescent="0.3">
      <c r="A205" s="1">
        <v>45489</v>
      </c>
      <c r="B205" t="s">
        <v>23</v>
      </c>
      <c r="C205" t="s">
        <v>13</v>
      </c>
      <c r="D205" t="s">
        <v>15</v>
      </c>
      <c r="E205" t="s">
        <v>11</v>
      </c>
      <c r="F205">
        <v>13</v>
      </c>
      <c r="G205" s="3">
        <v>1940.27</v>
      </c>
      <c r="H205" s="4">
        <v>25223.51</v>
      </c>
      <c r="I205" s="18">
        <f>WEEKDAY(Table1[[#This Row],[Date]],3)</f>
        <v>1</v>
      </c>
    </row>
    <row r="206" spans="1:9" x14ac:dyDescent="0.3">
      <c r="A206" s="1">
        <v>45490</v>
      </c>
      <c r="B206" t="s">
        <v>8</v>
      </c>
      <c r="C206" t="s">
        <v>13</v>
      </c>
      <c r="D206" t="s">
        <v>21</v>
      </c>
      <c r="E206" t="s">
        <v>19</v>
      </c>
      <c r="F206">
        <v>19</v>
      </c>
      <c r="G206" s="3">
        <v>1209.1400000000001</v>
      </c>
      <c r="H206" s="4">
        <v>22973.66</v>
      </c>
      <c r="I206" s="18">
        <f>WEEKDAY(Table1[[#This Row],[Date]],3)</f>
        <v>2</v>
      </c>
    </row>
    <row r="207" spans="1:9" x14ac:dyDescent="0.3">
      <c r="A207" s="1">
        <v>45621</v>
      </c>
      <c r="B207" t="s">
        <v>17</v>
      </c>
      <c r="C207" t="s">
        <v>9</v>
      </c>
      <c r="D207" t="s">
        <v>15</v>
      </c>
      <c r="E207" t="s">
        <v>26</v>
      </c>
      <c r="F207">
        <v>17</v>
      </c>
      <c r="G207" s="3">
        <v>3185.91</v>
      </c>
      <c r="H207" s="4">
        <v>54160.47</v>
      </c>
      <c r="I207" s="18">
        <f>WEEKDAY(Table1[[#This Row],[Date]],3)</f>
        <v>0</v>
      </c>
    </row>
    <row r="208" spans="1:9" x14ac:dyDescent="0.3">
      <c r="A208" s="1">
        <v>45553</v>
      </c>
      <c r="B208" t="s">
        <v>28</v>
      </c>
      <c r="C208" t="s">
        <v>9</v>
      </c>
      <c r="D208" t="s">
        <v>15</v>
      </c>
      <c r="E208" t="s">
        <v>26</v>
      </c>
      <c r="F208">
        <v>9</v>
      </c>
      <c r="G208" s="3">
        <v>1256.6500000000001</v>
      </c>
      <c r="H208" s="4">
        <v>11309.85</v>
      </c>
      <c r="I208" s="18">
        <f>WEEKDAY(Table1[[#This Row],[Date]],3)</f>
        <v>2</v>
      </c>
    </row>
    <row r="209" spans="1:9" x14ac:dyDescent="0.3">
      <c r="A209" s="1">
        <v>45532</v>
      </c>
      <c r="B209" t="s">
        <v>12</v>
      </c>
      <c r="C209" t="s">
        <v>13</v>
      </c>
      <c r="D209" t="s">
        <v>15</v>
      </c>
      <c r="E209" t="s">
        <v>22</v>
      </c>
      <c r="F209">
        <v>17</v>
      </c>
      <c r="G209" s="3">
        <v>713.1</v>
      </c>
      <c r="H209" s="4">
        <v>12122.7</v>
      </c>
      <c r="I209" s="18">
        <f>WEEKDAY(Table1[[#This Row],[Date]],3)</f>
        <v>2</v>
      </c>
    </row>
    <row r="210" spans="1:9" x14ac:dyDescent="0.3">
      <c r="A210" s="1">
        <v>45451</v>
      </c>
      <c r="B210" t="s">
        <v>27</v>
      </c>
      <c r="C210" t="s">
        <v>24</v>
      </c>
      <c r="D210" t="s">
        <v>18</v>
      </c>
      <c r="E210" t="s">
        <v>16</v>
      </c>
      <c r="F210">
        <v>15</v>
      </c>
      <c r="G210" s="3">
        <v>576.74</v>
      </c>
      <c r="H210" s="4">
        <v>8651.1</v>
      </c>
      <c r="I210" s="18">
        <f>WEEKDAY(Table1[[#This Row],[Date]],3)</f>
        <v>5</v>
      </c>
    </row>
    <row r="211" spans="1:9" x14ac:dyDescent="0.3">
      <c r="A211" s="1">
        <v>45359</v>
      </c>
      <c r="B211" t="s">
        <v>28</v>
      </c>
      <c r="C211" t="s">
        <v>24</v>
      </c>
      <c r="D211" t="s">
        <v>10</v>
      </c>
      <c r="E211" t="s">
        <v>26</v>
      </c>
      <c r="F211">
        <v>3</v>
      </c>
      <c r="G211" s="3">
        <v>863.78</v>
      </c>
      <c r="H211" s="4">
        <v>2591.34</v>
      </c>
      <c r="I211" s="18">
        <f>WEEKDAY(Table1[[#This Row],[Date]],3)</f>
        <v>4</v>
      </c>
    </row>
    <row r="212" spans="1:9" x14ac:dyDescent="0.3">
      <c r="A212" s="1">
        <v>45320</v>
      </c>
      <c r="B212" t="s">
        <v>20</v>
      </c>
      <c r="C212" t="s">
        <v>13</v>
      </c>
      <c r="D212" t="s">
        <v>18</v>
      </c>
      <c r="E212" t="s">
        <v>22</v>
      </c>
      <c r="F212">
        <v>12</v>
      </c>
      <c r="G212" s="3">
        <v>3606.27</v>
      </c>
      <c r="H212" s="4">
        <v>43275.24</v>
      </c>
      <c r="I212" s="18">
        <f>WEEKDAY(Table1[[#This Row],[Date]],3)</f>
        <v>0</v>
      </c>
    </row>
    <row r="213" spans="1:9" x14ac:dyDescent="0.3">
      <c r="A213" s="1">
        <v>45331</v>
      </c>
      <c r="B213" t="s">
        <v>20</v>
      </c>
      <c r="C213" t="s">
        <v>9</v>
      </c>
      <c r="D213" t="s">
        <v>10</v>
      </c>
      <c r="E213" t="s">
        <v>11</v>
      </c>
      <c r="F213">
        <v>2</v>
      </c>
      <c r="G213" s="3">
        <v>4725.3599999999997</v>
      </c>
      <c r="H213" s="4">
        <v>9450.7199999999993</v>
      </c>
      <c r="I213" s="18">
        <f>WEEKDAY(Table1[[#This Row],[Date]],3)</f>
        <v>4</v>
      </c>
    </row>
    <row r="214" spans="1:9" x14ac:dyDescent="0.3">
      <c r="A214" s="1">
        <v>45329</v>
      </c>
      <c r="B214" t="s">
        <v>14</v>
      </c>
      <c r="C214" t="s">
        <v>13</v>
      </c>
      <c r="D214" t="s">
        <v>18</v>
      </c>
      <c r="E214" t="s">
        <v>22</v>
      </c>
      <c r="F214">
        <v>18</v>
      </c>
      <c r="G214" s="3">
        <v>449.18</v>
      </c>
      <c r="H214" s="4">
        <v>8085.24</v>
      </c>
      <c r="I214" s="18">
        <f>WEEKDAY(Table1[[#This Row],[Date]],3)</f>
        <v>2</v>
      </c>
    </row>
    <row r="215" spans="1:9" x14ac:dyDescent="0.3">
      <c r="A215" s="1">
        <v>45607</v>
      </c>
      <c r="B215" t="s">
        <v>28</v>
      </c>
      <c r="C215" t="s">
        <v>9</v>
      </c>
      <c r="D215" t="s">
        <v>18</v>
      </c>
      <c r="E215" t="s">
        <v>22</v>
      </c>
      <c r="F215">
        <v>8</v>
      </c>
      <c r="G215" s="3">
        <v>1229.74</v>
      </c>
      <c r="H215" s="4">
        <v>9837.92</v>
      </c>
      <c r="I215" s="18">
        <f>WEEKDAY(Table1[[#This Row],[Date]],3)</f>
        <v>0</v>
      </c>
    </row>
    <row r="216" spans="1:9" x14ac:dyDescent="0.3">
      <c r="A216" s="1">
        <v>45609</v>
      </c>
      <c r="B216" t="s">
        <v>27</v>
      </c>
      <c r="C216" t="s">
        <v>24</v>
      </c>
      <c r="D216" t="s">
        <v>10</v>
      </c>
      <c r="E216" t="s">
        <v>22</v>
      </c>
      <c r="F216">
        <v>8</v>
      </c>
      <c r="G216" s="3">
        <v>831.55</v>
      </c>
      <c r="H216" s="4">
        <v>6652.4</v>
      </c>
      <c r="I216" s="18">
        <f>WEEKDAY(Table1[[#This Row],[Date]],3)</f>
        <v>2</v>
      </c>
    </row>
    <row r="217" spans="1:9" x14ac:dyDescent="0.3">
      <c r="A217" s="1">
        <v>45528</v>
      </c>
      <c r="B217" t="s">
        <v>25</v>
      </c>
      <c r="C217" t="s">
        <v>24</v>
      </c>
      <c r="D217" t="s">
        <v>21</v>
      </c>
      <c r="E217" t="s">
        <v>11</v>
      </c>
      <c r="F217">
        <v>16</v>
      </c>
      <c r="G217" s="3">
        <v>16426.07</v>
      </c>
      <c r="H217" s="4">
        <v>262817.12</v>
      </c>
      <c r="I217" s="18">
        <f>WEEKDAY(Table1[[#This Row],[Date]],3)</f>
        <v>5</v>
      </c>
    </row>
    <row r="218" spans="1:9" x14ac:dyDescent="0.3">
      <c r="A218" s="1">
        <v>45644</v>
      </c>
      <c r="B218" t="s">
        <v>20</v>
      </c>
      <c r="C218" t="s">
        <v>9</v>
      </c>
      <c r="D218" t="s">
        <v>10</v>
      </c>
      <c r="E218" t="s">
        <v>16</v>
      </c>
      <c r="F218">
        <v>10</v>
      </c>
      <c r="G218" s="3">
        <v>3817.5</v>
      </c>
      <c r="H218" s="4">
        <v>38175</v>
      </c>
      <c r="I218" s="18">
        <f>WEEKDAY(Table1[[#This Row],[Date]],3)</f>
        <v>2</v>
      </c>
    </row>
    <row r="219" spans="1:9" x14ac:dyDescent="0.3">
      <c r="A219" s="1">
        <v>45446</v>
      </c>
      <c r="B219" t="s">
        <v>29</v>
      </c>
      <c r="C219" t="s">
        <v>13</v>
      </c>
      <c r="D219" t="s">
        <v>18</v>
      </c>
      <c r="E219" t="s">
        <v>11</v>
      </c>
      <c r="F219">
        <v>13</v>
      </c>
      <c r="G219" s="3">
        <v>4280.87</v>
      </c>
      <c r="H219" s="4">
        <v>55651.31</v>
      </c>
      <c r="I219" s="18">
        <f>WEEKDAY(Table1[[#This Row],[Date]],3)</f>
        <v>0</v>
      </c>
    </row>
    <row r="220" spans="1:9" x14ac:dyDescent="0.3">
      <c r="A220" s="1">
        <v>45322</v>
      </c>
      <c r="B220" t="s">
        <v>23</v>
      </c>
      <c r="C220" t="s">
        <v>24</v>
      </c>
      <c r="D220" t="s">
        <v>15</v>
      </c>
      <c r="E220" t="s">
        <v>11</v>
      </c>
      <c r="F220">
        <v>7</v>
      </c>
      <c r="G220" s="3">
        <v>1194.68</v>
      </c>
      <c r="H220" s="4">
        <v>8362.76</v>
      </c>
      <c r="I220" s="18">
        <f>WEEKDAY(Table1[[#This Row],[Date]],3)</f>
        <v>2</v>
      </c>
    </row>
    <row r="221" spans="1:9" x14ac:dyDescent="0.3">
      <c r="A221" s="1">
        <v>45647</v>
      </c>
      <c r="B221" t="s">
        <v>17</v>
      </c>
      <c r="C221" t="s">
        <v>24</v>
      </c>
      <c r="D221" t="s">
        <v>18</v>
      </c>
      <c r="E221" t="s">
        <v>16</v>
      </c>
      <c r="F221">
        <v>12</v>
      </c>
      <c r="G221" s="3">
        <v>1759.58</v>
      </c>
      <c r="H221" s="4">
        <v>21114.959999999999</v>
      </c>
      <c r="I221" s="18">
        <f>WEEKDAY(Table1[[#This Row],[Date]],3)</f>
        <v>5</v>
      </c>
    </row>
    <row r="222" spans="1:9" x14ac:dyDescent="0.3">
      <c r="A222" s="1">
        <v>45515</v>
      </c>
      <c r="B222" t="s">
        <v>25</v>
      </c>
      <c r="C222" t="s">
        <v>9</v>
      </c>
      <c r="D222" t="s">
        <v>18</v>
      </c>
      <c r="E222" t="s">
        <v>22</v>
      </c>
      <c r="F222">
        <v>13</v>
      </c>
      <c r="G222" s="3">
        <v>17518.61</v>
      </c>
      <c r="H222" s="4">
        <v>227741.93</v>
      </c>
      <c r="I222" s="18">
        <f>WEEKDAY(Table1[[#This Row],[Date]],3)</f>
        <v>6</v>
      </c>
    </row>
    <row r="223" spans="1:9" x14ac:dyDescent="0.3">
      <c r="A223" s="1">
        <v>45617</v>
      </c>
      <c r="B223" t="s">
        <v>27</v>
      </c>
      <c r="C223" t="s">
        <v>24</v>
      </c>
      <c r="D223" t="s">
        <v>10</v>
      </c>
      <c r="E223" t="s">
        <v>22</v>
      </c>
      <c r="F223">
        <v>9</v>
      </c>
      <c r="G223" s="3">
        <v>1022.24</v>
      </c>
      <c r="H223" s="4">
        <v>9200.16</v>
      </c>
      <c r="I223" s="18">
        <f>WEEKDAY(Table1[[#This Row],[Date]],3)</f>
        <v>3</v>
      </c>
    </row>
    <row r="224" spans="1:9" x14ac:dyDescent="0.3">
      <c r="A224" s="1">
        <v>45610</v>
      </c>
      <c r="B224" t="s">
        <v>28</v>
      </c>
      <c r="C224" t="s">
        <v>9</v>
      </c>
      <c r="D224" t="s">
        <v>15</v>
      </c>
      <c r="E224" t="s">
        <v>19</v>
      </c>
      <c r="F224">
        <v>4</v>
      </c>
      <c r="G224" s="3">
        <v>740.7</v>
      </c>
      <c r="H224" s="4">
        <v>2962.8</v>
      </c>
      <c r="I224" s="18">
        <f>WEEKDAY(Table1[[#This Row],[Date]],3)</f>
        <v>3</v>
      </c>
    </row>
    <row r="225" spans="1:9" x14ac:dyDescent="0.3">
      <c r="A225" s="1">
        <v>45510</v>
      </c>
      <c r="B225" t="s">
        <v>25</v>
      </c>
      <c r="C225" t="s">
        <v>24</v>
      </c>
      <c r="D225" t="s">
        <v>18</v>
      </c>
      <c r="E225" t="s">
        <v>22</v>
      </c>
      <c r="F225">
        <v>1</v>
      </c>
      <c r="G225" s="3">
        <v>11021.28</v>
      </c>
      <c r="H225" s="4">
        <v>11021.28</v>
      </c>
      <c r="I225" s="18">
        <f>WEEKDAY(Table1[[#This Row],[Date]],3)</f>
        <v>1</v>
      </c>
    </row>
    <row r="226" spans="1:9" x14ac:dyDescent="0.3">
      <c r="A226" s="1">
        <v>45411</v>
      </c>
      <c r="B226" t="s">
        <v>17</v>
      </c>
      <c r="C226" t="s">
        <v>24</v>
      </c>
      <c r="D226" t="s">
        <v>15</v>
      </c>
      <c r="E226" t="s">
        <v>16</v>
      </c>
      <c r="F226">
        <v>12</v>
      </c>
      <c r="G226" s="3">
        <v>2874.48</v>
      </c>
      <c r="H226" s="4">
        <v>34493.760000000002</v>
      </c>
      <c r="I226" s="18">
        <f>WEEKDAY(Table1[[#This Row],[Date]],3)</f>
        <v>0</v>
      </c>
    </row>
    <row r="227" spans="1:9" x14ac:dyDescent="0.3">
      <c r="A227" s="1">
        <v>45518</v>
      </c>
      <c r="B227" t="s">
        <v>8</v>
      </c>
      <c r="C227" t="s">
        <v>9</v>
      </c>
      <c r="D227" t="s">
        <v>21</v>
      </c>
      <c r="E227" t="s">
        <v>16</v>
      </c>
      <c r="F227">
        <v>11</v>
      </c>
      <c r="G227" s="3">
        <v>1431.49</v>
      </c>
      <c r="H227" s="4">
        <v>15746.39</v>
      </c>
      <c r="I227" s="18">
        <f>WEEKDAY(Table1[[#This Row],[Date]],3)</f>
        <v>2</v>
      </c>
    </row>
    <row r="228" spans="1:9" x14ac:dyDescent="0.3">
      <c r="A228" s="1">
        <v>45370</v>
      </c>
      <c r="B228" t="s">
        <v>27</v>
      </c>
      <c r="C228" t="s">
        <v>13</v>
      </c>
      <c r="D228" t="s">
        <v>15</v>
      </c>
      <c r="E228" t="s">
        <v>22</v>
      </c>
      <c r="F228">
        <v>2</v>
      </c>
      <c r="G228" s="3">
        <v>691.34</v>
      </c>
      <c r="H228" s="4">
        <v>1382.68</v>
      </c>
      <c r="I228" s="18">
        <f>WEEKDAY(Table1[[#This Row],[Date]],3)</f>
        <v>1</v>
      </c>
    </row>
    <row r="229" spans="1:9" x14ac:dyDescent="0.3">
      <c r="A229" s="1">
        <v>45576</v>
      </c>
      <c r="B229" t="s">
        <v>8</v>
      </c>
      <c r="C229" t="s">
        <v>9</v>
      </c>
      <c r="D229" t="s">
        <v>10</v>
      </c>
      <c r="E229" t="s">
        <v>16</v>
      </c>
      <c r="F229">
        <v>9</v>
      </c>
      <c r="G229" s="3">
        <v>957.81</v>
      </c>
      <c r="H229" s="4">
        <v>8620.2900000000009</v>
      </c>
      <c r="I229" s="18">
        <f>WEEKDAY(Table1[[#This Row],[Date]],3)</f>
        <v>4</v>
      </c>
    </row>
    <row r="230" spans="1:9" x14ac:dyDescent="0.3">
      <c r="A230" s="1">
        <v>45576</v>
      </c>
      <c r="B230" t="s">
        <v>8</v>
      </c>
      <c r="C230" t="s">
        <v>24</v>
      </c>
      <c r="D230" t="s">
        <v>10</v>
      </c>
      <c r="E230" t="s">
        <v>19</v>
      </c>
      <c r="F230">
        <v>11</v>
      </c>
      <c r="G230" s="3">
        <v>1036.75</v>
      </c>
      <c r="H230" s="4">
        <v>11404.25</v>
      </c>
      <c r="I230" s="18">
        <f>WEEKDAY(Table1[[#This Row],[Date]],3)</f>
        <v>4</v>
      </c>
    </row>
    <row r="231" spans="1:9" x14ac:dyDescent="0.3">
      <c r="A231" s="1">
        <v>45628</v>
      </c>
      <c r="B231" t="s">
        <v>14</v>
      </c>
      <c r="C231" t="s">
        <v>9</v>
      </c>
      <c r="D231" t="s">
        <v>18</v>
      </c>
      <c r="E231" t="s">
        <v>16</v>
      </c>
      <c r="F231">
        <v>6</v>
      </c>
      <c r="G231" s="3">
        <v>693.63</v>
      </c>
      <c r="H231" s="4">
        <v>4161.78</v>
      </c>
      <c r="I231" s="18">
        <f>WEEKDAY(Table1[[#This Row],[Date]],3)</f>
        <v>0</v>
      </c>
    </row>
    <row r="232" spans="1:9" x14ac:dyDescent="0.3">
      <c r="A232" s="1">
        <v>45548</v>
      </c>
      <c r="B232" t="s">
        <v>12</v>
      </c>
      <c r="C232" t="s">
        <v>24</v>
      </c>
      <c r="D232" t="s">
        <v>10</v>
      </c>
      <c r="E232" t="s">
        <v>22</v>
      </c>
      <c r="F232">
        <v>3</v>
      </c>
      <c r="G232" s="3">
        <v>646.80999999999995</v>
      </c>
      <c r="H232" s="4">
        <v>1940.43</v>
      </c>
      <c r="I232" s="18">
        <f>WEEKDAY(Table1[[#This Row],[Date]],3)</f>
        <v>4</v>
      </c>
    </row>
    <row r="233" spans="1:9" x14ac:dyDescent="0.3">
      <c r="A233" s="1">
        <v>45572</v>
      </c>
      <c r="B233" t="s">
        <v>14</v>
      </c>
      <c r="C233" t="s">
        <v>24</v>
      </c>
      <c r="D233" t="s">
        <v>10</v>
      </c>
      <c r="E233" t="s">
        <v>19</v>
      </c>
      <c r="F233">
        <v>16</v>
      </c>
      <c r="G233" s="3">
        <v>615.55999999999995</v>
      </c>
      <c r="H233" s="4">
        <v>9848.9599999999991</v>
      </c>
      <c r="I233" s="18">
        <f>WEEKDAY(Table1[[#This Row],[Date]],3)</f>
        <v>0</v>
      </c>
    </row>
    <row r="234" spans="1:9" x14ac:dyDescent="0.3">
      <c r="A234" s="1">
        <v>45351</v>
      </c>
      <c r="B234" t="s">
        <v>20</v>
      </c>
      <c r="C234" t="s">
        <v>9</v>
      </c>
      <c r="D234" t="s">
        <v>18</v>
      </c>
      <c r="E234" t="s">
        <v>16</v>
      </c>
      <c r="F234">
        <v>8</v>
      </c>
      <c r="G234" s="3">
        <v>5812.77</v>
      </c>
      <c r="H234" s="4">
        <v>46502.16</v>
      </c>
      <c r="I234" s="18">
        <f>WEEKDAY(Table1[[#This Row],[Date]],3)</f>
        <v>3</v>
      </c>
    </row>
    <row r="235" spans="1:9" x14ac:dyDescent="0.3">
      <c r="A235" s="1">
        <v>45465</v>
      </c>
      <c r="B235" t="s">
        <v>17</v>
      </c>
      <c r="C235" t="s">
        <v>13</v>
      </c>
      <c r="D235" t="s">
        <v>10</v>
      </c>
      <c r="E235" t="s">
        <v>16</v>
      </c>
      <c r="F235">
        <v>12</v>
      </c>
      <c r="G235" s="3">
        <v>1798.79</v>
      </c>
      <c r="H235" s="4">
        <v>21585.48</v>
      </c>
      <c r="I235" s="18">
        <f>WEEKDAY(Table1[[#This Row],[Date]],3)</f>
        <v>5</v>
      </c>
    </row>
    <row r="236" spans="1:9" x14ac:dyDescent="0.3">
      <c r="A236" s="1">
        <v>45607</v>
      </c>
      <c r="B236" t="s">
        <v>12</v>
      </c>
      <c r="C236" t="s">
        <v>13</v>
      </c>
      <c r="D236" t="s">
        <v>21</v>
      </c>
      <c r="E236" t="s">
        <v>26</v>
      </c>
      <c r="F236">
        <v>14</v>
      </c>
      <c r="G236" s="3">
        <v>953.1</v>
      </c>
      <c r="H236" s="4">
        <v>13343.4</v>
      </c>
      <c r="I236" s="18">
        <f>WEEKDAY(Table1[[#This Row],[Date]],3)</f>
        <v>0</v>
      </c>
    </row>
    <row r="237" spans="1:9" x14ac:dyDescent="0.3">
      <c r="A237" s="1">
        <v>45527</v>
      </c>
      <c r="B237" t="s">
        <v>8</v>
      </c>
      <c r="C237" t="s">
        <v>9</v>
      </c>
      <c r="D237" t="s">
        <v>15</v>
      </c>
      <c r="E237" t="s">
        <v>26</v>
      </c>
      <c r="F237">
        <v>2</v>
      </c>
      <c r="G237" s="3">
        <v>1414.24</v>
      </c>
      <c r="H237" s="4">
        <v>2828.48</v>
      </c>
      <c r="I237" s="18">
        <f>WEEKDAY(Table1[[#This Row],[Date]],3)</f>
        <v>4</v>
      </c>
    </row>
    <row r="238" spans="1:9" x14ac:dyDescent="0.3">
      <c r="A238" s="1">
        <v>45355</v>
      </c>
      <c r="B238" t="s">
        <v>25</v>
      </c>
      <c r="C238" t="s">
        <v>9</v>
      </c>
      <c r="D238" t="s">
        <v>15</v>
      </c>
      <c r="E238" t="s">
        <v>22</v>
      </c>
      <c r="F238">
        <v>14</v>
      </c>
      <c r="G238" s="3">
        <v>19272.3</v>
      </c>
      <c r="H238" s="4">
        <v>269812.2</v>
      </c>
      <c r="I238" s="18">
        <f>WEEKDAY(Table1[[#This Row],[Date]],3)</f>
        <v>0</v>
      </c>
    </row>
    <row r="239" spans="1:9" x14ac:dyDescent="0.3">
      <c r="A239" s="1">
        <v>45457</v>
      </c>
      <c r="B239" t="s">
        <v>20</v>
      </c>
      <c r="C239" t="s">
        <v>9</v>
      </c>
      <c r="D239" t="s">
        <v>21</v>
      </c>
      <c r="E239" t="s">
        <v>26</v>
      </c>
      <c r="F239">
        <v>8</v>
      </c>
      <c r="G239" s="3">
        <v>5672.86</v>
      </c>
      <c r="H239" s="4">
        <v>45382.879999999997</v>
      </c>
      <c r="I239" s="18">
        <f>WEEKDAY(Table1[[#This Row],[Date]],3)</f>
        <v>4</v>
      </c>
    </row>
    <row r="240" spans="1:9" x14ac:dyDescent="0.3">
      <c r="A240" s="1">
        <v>45470</v>
      </c>
      <c r="B240" t="s">
        <v>14</v>
      </c>
      <c r="C240" t="s">
        <v>9</v>
      </c>
      <c r="D240" t="s">
        <v>18</v>
      </c>
      <c r="E240" t="s">
        <v>19</v>
      </c>
      <c r="F240">
        <v>14</v>
      </c>
      <c r="G240" s="3">
        <v>471.3</v>
      </c>
      <c r="H240" s="4">
        <v>6598.2</v>
      </c>
      <c r="I240" s="18">
        <f>WEEKDAY(Table1[[#This Row],[Date]],3)</f>
        <v>3</v>
      </c>
    </row>
    <row r="241" spans="1:9" x14ac:dyDescent="0.3">
      <c r="A241" s="1">
        <v>45371</v>
      </c>
      <c r="B241" t="s">
        <v>29</v>
      </c>
      <c r="C241" t="s">
        <v>24</v>
      </c>
      <c r="D241" t="s">
        <v>21</v>
      </c>
      <c r="E241" t="s">
        <v>19</v>
      </c>
      <c r="F241">
        <v>1</v>
      </c>
      <c r="G241" s="3">
        <v>3625.26</v>
      </c>
      <c r="H241" s="4">
        <v>3625.26</v>
      </c>
      <c r="I241" s="18">
        <f>WEEKDAY(Table1[[#This Row],[Date]],3)</f>
        <v>2</v>
      </c>
    </row>
    <row r="242" spans="1:9" x14ac:dyDescent="0.3">
      <c r="A242" s="1">
        <v>45533</v>
      </c>
      <c r="B242" t="s">
        <v>25</v>
      </c>
      <c r="C242" t="s">
        <v>24</v>
      </c>
      <c r="D242" t="s">
        <v>18</v>
      </c>
      <c r="E242" t="s">
        <v>26</v>
      </c>
      <c r="F242">
        <v>9</v>
      </c>
      <c r="G242" s="3">
        <v>13655.64</v>
      </c>
      <c r="H242" s="4">
        <v>122900.76</v>
      </c>
      <c r="I242" s="18">
        <f>WEEKDAY(Table1[[#This Row],[Date]],3)</f>
        <v>3</v>
      </c>
    </row>
    <row r="243" spans="1:9" x14ac:dyDescent="0.3">
      <c r="A243" s="1">
        <v>45368</v>
      </c>
      <c r="B243" t="s">
        <v>8</v>
      </c>
      <c r="C243" t="s">
        <v>24</v>
      </c>
      <c r="D243" t="s">
        <v>15</v>
      </c>
      <c r="E243" t="s">
        <v>22</v>
      </c>
      <c r="F243">
        <v>6</v>
      </c>
      <c r="G243" s="3">
        <v>1248.6300000000001</v>
      </c>
      <c r="H243" s="4">
        <v>7491.78</v>
      </c>
      <c r="I243" s="18">
        <f>WEEKDAY(Table1[[#This Row],[Date]],3)</f>
        <v>6</v>
      </c>
    </row>
    <row r="244" spans="1:9" x14ac:dyDescent="0.3">
      <c r="A244" s="1">
        <v>45465</v>
      </c>
      <c r="B244" t="s">
        <v>12</v>
      </c>
      <c r="C244" t="s">
        <v>24</v>
      </c>
      <c r="D244" t="s">
        <v>10</v>
      </c>
      <c r="E244" t="s">
        <v>22</v>
      </c>
      <c r="F244">
        <v>10</v>
      </c>
      <c r="G244" s="3">
        <v>720.44</v>
      </c>
      <c r="H244" s="4">
        <v>7204.4</v>
      </c>
      <c r="I244" s="18">
        <f>WEEKDAY(Table1[[#This Row],[Date]],3)</f>
        <v>5</v>
      </c>
    </row>
    <row r="245" spans="1:9" x14ac:dyDescent="0.3">
      <c r="A245" s="1">
        <v>45596</v>
      </c>
      <c r="B245" t="s">
        <v>14</v>
      </c>
      <c r="C245" t="s">
        <v>13</v>
      </c>
      <c r="D245" t="s">
        <v>18</v>
      </c>
      <c r="E245" t="s">
        <v>11</v>
      </c>
      <c r="F245">
        <v>6</v>
      </c>
      <c r="G245" s="3">
        <v>634.12</v>
      </c>
      <c r="H245" s="4">
        <v>3804.72</v>
      </c>
      <c r="I245" s="18">
        <f>WEEKDAY(Table1[[#This Row],[Date]],3)</f>
        <v>3</v>
      </c>
    </row>
    <row r="246" spans="1:9" x14ac:dyDescent="0.3">
      <c r="A246" s="1">
        <v>45364</v>
      </c>
      <c r="B246" t="s">
        <v>23</v>
      </c>
      <c r="C246" t="s">
        <v>13</v>
      </c>
      <c r="D246" t="s">
        <v>21</v>
      </c>
      <c r="E246" t="s">
        <v>26</v>
      </c>
      <c r="F246">
        <v>18</v>
      </c>
      <c r="G246" s="3">
        <v>1891.68</v>
      </c>
      <c r="H246" s="4">
        <v>34050.239999999998</v>
      </c>
      <c r="I246" s="18">
        <f>WEEKDAY(Table1[[#This Row],[Date]],3)</f>
        <v>2</v>
      </c>
    </row>
    <row r="247" spans="1:9" x14ac:dyDescent="0.3">
      <c r="A247" s="1">
        <v>45619</v>
      </c>
      <c r="B247" t="s">
        <v>17</v>
      </c>
      <c r="C247" t="s">
        <v>24</v>
      </c>
      <c r="D247" t="s">
        <v>21</v>
      </c>
      <c r="E247" t="s">
        <v>11</v>
      </c>
      <c r="F247">
        <v>7</v>
      </c>
      <c r="G247" s="3">
        <v>2741.23</v>
      </c>
      <c r="H247" s="4">
        <v>19188.61</v>
      </c>
      <c r="I247" s="18">
        <f>WEEKDAY(Table1[[#This Row],[Date]],3)</f>
        <v>5</v>
      </c>
    </row>
    <row r="248" spans="1:9" x14ac:dyDescent="0.3">
      <c r="A248" s="1">
        <v>45499</v>
      </c>
      <c r="B248" t="s">
        <v>8</v>
      </c>
      <c r="C248" t="s">
        <v>24</v>
      </c>
      <c r="D248" t="s">
        <v>15</v>
      </c>
      <c r="E248" t="s">
        <v>22</v>
      </c>
      <c r="F248">
        <v>3</v>
      </c>
      <c r="G248" s="3">
        <v>869.34</v>
      </c>
      <c r="H248" s="4">
        <v>2608.02</v>
      </c>
      <c r="I248" s="18">
        <f>WEEKDAY(Table1[[#This Row],[Date]],3)</f>
        <v>4</v>
      </c>
    </row>
    <row r="249" spans="1:9" x14ac:dyDescent="0.3">
      <c r="A249" s="1">
        <v>45479</v>
      </c>
      <c r="B249" t="s">
        <v>12</v>
      </c>
      <c r="C249" t="s">
        <v>24</v>
      </c>
      <c r="D249" t="s">
        <v>10</v>
      </c>
      <c r="E249" t="s">
        <v>22</v>
      </c>
      <c r="F249">
        <v>12</v>
      </c>
      <c r="G249" s="3">
        <v>763.44</v>
      </c>
      <c r="H249" s="4">
        <v>9161.2800000000007</v>
      </c>
      <c r="I249" s="18">
        <f>WEEKDAY(Table1[[#This Row],[Date]],3)</f>
        <v>5</v>
      </c>
    </row>
    <row r="250" spans="1:9" x14ac:dyDescent="0.3">
      <c r="A250" s="1">
        <v>45316</v>
      </c>
      <c r="B250" t="s">
        <v>27</v>
      </c>
      <c r="C250" t="s">
        <v>24</v>
      </c>
      <c r="D250" t="s">
        <v>10</v>
      </c>
      <c r="E250" t="s">
        <v>19</v>
      </c>
      <c r="F250">
        <v>13</v>
      </c>
      <c r="G250" s="3">
        <v>647.41999999999996</v>
      </c>
      <c r="H250" s="4">
        <v>8416.4599999999991</v>
      </c>
      <c r="I250" s="18">
        <f>WEEKDAY(Table1[[#This Row],[Date]],3)</f>
        <v>3</v>
      </c>
    </row>
    <row r="251" spans="1:9" x14ac:dyDescent="0.3">
      <c r="A251" s="1">
        <v>45410</v>
      </c>
      <c r="B251" t="s">
        <v>28</v>
      </c>
      <c r="C251" t="s">
        <v>13</v>
      </c>
      <c r="D251" t="s">
        <v>21</v>
      </c>
      <c r="E251" t="s">
        <v>11</v>
      </c>
      <c r="F251">
        <v>12</v>
      </c>
      <c r="G251" s="3">
        <v>1033.22</v>
      </c>
      <c r="H251" s="4">
        <v>12398.64</v>
      </c>
      <c r="I251" s="18">
        <f>WEEKDAY(Table1[[#This Row],[Date]],3)</f>
        <v>6</v>
      </c>
    </row>
    <row r="252" spans="1:9" x14ac:dyDescent="0.3">
      <c r="A252" s="1">
        <v>45502</v>
      </c>
      <c r="B252" t="s">
        <v>29</v>
      </c>
      <c r="C252" t="s">
        <v>9</v>
      </c>
      <c r="D252" t="s">
        <v>21</v>
      </c>
      <c r="E252" t="s">
        <v>26</v>
      </c>
      <c r="F252">
        <v>3</v>
      </c>
      <c r="G252" s="3">
        <v>2621.21</v>
      </c>
      <c r="H252" s="4">
        <v>7863.63</v>
      </c>
      <c r="I252" s="18">
        <f>WEEKDAY(Table1[[#This Row],[Date]],3)</f>
        <v>0</v>
      </c>
    </row>
    <row r="253" spans="1:9" x14ac:dyDescent="0.3">
      <c r="A253" s="1">
        <v>45534</v>
      </c>
      <c r="B253" t="s">
        <v>27</v>
      </c>
      <c r="C253" t="s">
        <v>9</v>
      </c>
      <c r="D253" t="s">
        <v>18</v>
      </c>
      <c r="E253" t="s">
        <v>26</v>
      </c>
      <c r="F253">
        <v>7</v>
      </c>
      <c r="G253" s="3">
        <v>782.06</v>
      </c>
      <c r="H253" s="4">
        <v>5474.42</v>
      </c>
      <c r="I253" s="18">
        <f>WEEKDAY(Table1[[#This Row],[Date]],3)</f>
        <v>4</v>
      </c>
    </row>
    <row r="254" spans="1:9" x14ac:dyDescent="0.3">
      <c r="A254" s="1">
        <v>45641</v>
      </c>
      <c r="B254" t="s">
        <v>28</v>
      </c>
      <c r="C254" t="s">
        <v>13</v>
      </c>
      <c r="D254" t="s">
        <v>15</v>
      </c>
      <c r="E254" t="s">
        <v>16</v>
      </c>
      <c r="F254">
        <v>5</v>
      </c>
      <c r="G254" s="3">
        <v>907.56</v>
      </c>
      <c r="H254" s="4">
        <v>4537.8</v>
      </c>
      <c r="I254" s="18">
        <f>WEEKDAY(Table1[[#This Row],[Date]],3)</f>
        <v>6</v>
      </c>
    </row>
    <row r="255" spans="1:9" x14ac:dyDescent="0.3">
      <c r="A255" s="1">
        <v>45655</v>
      </c>
      <c r="B255" t="s">
        <v>8</v>
      </c>
      <c r="C255" t="s">
        <v>24</v>
      </c>
      <c r="D255" t="s">
        <v>18</v>
      </c>
      <c r="E255" t="s">
        <v>11</v>
      </c>
      <c r="F255">
        <v>9</v>
      </c>
      <c r="G255" s="3">
        <v>1155.8</v>
      </c>
      <c r="H255" s="4">
        <v>10402.200000000001</v>
      </c>
      <c r="I255" s="18">
        <f>WEEKDAY(Table1[[#This Row],[Date]],3)</f>
        <v>6</v>
      </c>
    </row>
    <row r="256" spans="1:9" x14ac:dyDescent="0.3">
      <c r="A256" s="1">
        <v>45408</v>
      </c>
      <c r="B256" t="s">
        <v>17</v>
      </c>
      <c r="C256" t="s">
        <v>24</v>
      </c>
      <c r="D256" t="s">
        <v>10</v>
      </c>
      <c r="E256" t="s">
        <v>22</v>
      </c>
      <c r="F256">
        <v>4</v>
      </c>
      <c r="G256" s="3">
        <v>2382.58</v>
      </c>
      <c r="H256" s="4">
        <v>9530.32</v>
      </c>
      <c r="I256" s="18">
        <f>WEEKDAY(Table1[[#This Row],[Date]],3)</f>
        <v>4</v>
      </c>
    </row>
    <row r="257" spans="1:9" x14ac:dyDescent="0.3">
      <c r="A257" s="1">
        <v>45534</v>
      </c>
      <c r="B257" t="s">
        <v>27</v>
      </c>
      <c r="C257" t="s">
        <v>24</v>
      </c>
      <c r="D257" t="s">
        <v>15</v>
      </c>
      <c r="E257" t="s">
        <v>16</v>
      </c>
      <c r="F257">
        <v>12</v>
      </c>
      <c r="G257" s="3">
        <v>744.25</v>
      </c>
      <c r="H257" s="4">
        <v>8931</v>
      </c>
      <c r="I257" s="18">
        <f>WEEKDAY(Table1[[#This Row],[Date]],3)</f>
        <v>4</v>
      </c>
    </row>
    <row r="258" spans="1:9" x14ac:dyDescent="0.3">
      <c r="A258" s="1">
        <v>45309</v>
      </c>
      <c r="B258" t="s">
        <v>14</v>
      </c>
      <c r="C258" t="s">
        <v>9</v>
      </c>
      <c r="D258" t="s">
        <v>10</v>
      </c>
      <c r="E258" t="s">
        <v>26</v>
      </c>
      <c r="F258">
        <v>3</v>
      </c>
      <c r="G258" s="3">
        <v>699.36</v>
      </c>
      <c r="H258" s="4">
        <v>2098.08</v>
      </c>
      <c r="I258" s="18">
        <f>WEEKDAY(Table1[[#This Row],[Date]],3)</f>
        <v>3</v>
      </c>
    </row>
    <row r="259" spans="1:9" x14ac:dyDescent="0.3">
      <c r="A259" s="1">
        <v>45391</v>
      </c>
      <c r="B259" t="s">
        <v>23</v>
      </c>
      <c r="C259" t="s">
        <v>24</v>
      </c>
      <c r="D259" t="s">
        <v>21</v>
      </c>
      <c r="E259" t="s">
        <v>22</v>
      </c>
      <c r="F259">
        <v>5</v>
      </c>
      <c r="G259" s="3">
        <v>1818.95</v>
      </c>
      <c r="H259" s="4">
        <v>9094.75</v>
      </c>
      <c r="I259" s="18">
        <f>WEEKDAY(Table1[[#This Row],[Date]],3)</f>
        <v>1</v>
      </c>
    </row>
    <row r="260" spans="1:9" x14ac:dyDescent="0.3">
      <c r="A260" s="1">
        <v>45332</v>
      </c>
      <c r="B260" t="s">
        <v>29</v>
      </c>
      <c r="C260" t="s">
        <v>9</v>
      </c>
      <c r="D260" t="s">
        <v>10</v>
      </c>
      <c r="E260" t="s">
        <v>26</v>
      </c>
      <c r="F260">
        <v>2</v>
      </c>
      <c r="G260" s="3">
        <v>2650.05</v>
      </c>
      <c r="H260" s="4">
        <v>5300.1</v>
      </c>
      <c r="I260" s="18">
        <f>WEEKDAY(Table1[[#This Row],[Date]],3)</f>
        <v>5</v>
      </c>
    </row>
    <row r="261" spans="1:9" x14ac:dyDescent="0.3">
      <c r="A261" s="1">
        <v>45436</v>
      </c>
      <c r="B261" t="s">
        <v>20</v>
      </c>
      <c r="C261" t="s">
        <v>9</v>
      </c>
      <c r="D261" t="s">
        <v>21</v>
      </c>
      <c r="E261" t="s">
        <v>22</v>
      </c>
      <c r="F261">
        <v>3</v>
      </c>
      <c r="G261" s="3">
        <v>5470.21</v>
      </c>
      <c r="H261" s="4">
        <v>16410.63</v>
      </c>
      <c r="I261" s="18">
        <f>WEEKDAY(Table1[[#This Row],[Date]],3)</f>
        <v>4</v>
      </c>
    </row>
    <row r="262" spans="1:9" x14ac:dyDescent="0.3">
      <c r="A262" s="1">
        <v>45455</v>
      </c>
      <c r="B262" t="s">
        <v>23</v>
      </c>
      <c r="C262" t="s">
        <v>13</v>
      </c>
      <c r="D262" t="s">
        <v>10</v>
      </c>
      <c r="E262" t="s">
        <v>11</v>
      </c>
      <c r="F262">
        <v>10</v>
      </c>
      <c r="G262" s="3">
        <v>1116.1500000000001</v>
      </c>
      <c r="H262" s="4">
        <v>11161.5</v>
      </c>
      <c r="I262" s="18">
        <f>WEEKDAY(Table1[[#This Row],[Date]],3)</f>
        <v>2</v>
      </c>
    </row>
    <row r="263" spans="1:9" x14ac:dyDescent="0.3">
      <c r="A263" s="1">
        <v>45561</v>
      </c>
      <c r="B263" t="s">
        <v>12</v>
      </c>
      <c r="C263" t="s">
        <v>9</v>
      </c>
      <c r="D263" t="s">
        <v>15</v>
      </c>
      <c r="E263" t="s">
        <v>19</v>
      </c>
      <c r="F263">
        <v>9</v>
      </c>
      <c r="G263" s="3">
        <v>862.68</v>
      </c>
      <c r="H263" s="4">
        <v>7764.12</v>
      </c>
      <c r="I263" s="18">
        <f>WEEKDAY(Table1[[#This Row],[Date]],3)</f>
        <v>3</v>
      </c>
    </row>
    <row r="264" spans="1:9" x14ac:dyDescent="0.3">
      <c r="A264" s="1">
        <v>45567</v>
      </c>
      <c r="B264" t="s">
        <v>14</v>
      </c>
      <c r="C264" t="s">
        <v>13</v>
      </c>
      <c r="D264" t="s">
        <v>21</v>
      </c>
      <c r="E264" t="s">
        <v>26</v>
      </c>
      <c r="F264">
        <v>11</v>
      </c>
      <c r="G264" s="3">
        <v>685.1</v>
      </c>
      <c r="H264" s="4">
        <v>7536.1</v>
      </c>
      <c r="I264" s="18">
        <f>WEEKDAY(Table1[[#This Row],[Date]],3)</f>
        <v>2</v>
      </c>
    </row>
    <row r="265" spans="1:9" x14ac:dyDescent="0.3">
      <c r="A265" s="1">
        <v>45495</v>
      </c>
      <c r="B265" t="s">
        <v>28</v>
      </c>
      <c r="C265" t="s">
        <v>9</v>
      </c>
      <c r="D265" t="s">
        <v>18</v>
      </c>
      <c r="E265" t="s">
        <v>19</v>
      </c>
      <c r="F265">
        <v>15</v>
      </c>
      <c r="G265" s="3">
        <v>1220.96</v>
      </c>
      <c r="H265" s="4">
        <v>18314.400000000001</v>
      </c>
      <c r="I265" s="18">
        <f>WEEKDAY(Table1[[#This Row],[Date]],3)</f>
        <v>0</v>
      </c>
    </row>
    <row r="266" spans="1:9" x14ac:dyDescent="0.3">
      <c r="A266" s="1">
        <v>45399</v>
      </c>
      <c r="B266" t="s">
        <v>8</v>
      </c>
      <c r="C266" t="s">
        <v>24</v>
      </c>
      <c r="D266" t="s">
        <v>15</v>
      </c>
      <c r="E266" t="s">
        <v>22</v>
      </c>
      <c r="F266">
        <v>9</v>
      </c>
      <c r="G266" s="3">
        <v>1222.44</v>
      </c>
      <c r="H266" s="4">
        <v>11001.96</v>
      </c>
      <c r="I266" s="18">
        <f>WEEKDAY(Table1[[#This Row],[Date]],3)</f>
        <v>2</v>
      </c>
    </row>
    <row r="267" spans="1:9" x14ac:dyDescent="0.3">
      <c r="A267" s="1">
        <v>45311</v>
      </c>
      <c r="B267" t="s">
        <v>12</v>
      </c>
      <c r="C267" t="s">
        <v>9</v>
      </c>
      <c r="D267" t="s">
        <v>18</v>
      </c>
      <c r="E267" t="s">
        <v>11</v>
      </c>
      <c r="F267">
        <v>6</v>
      </c>
      <c r="G267" s="3">
        <v>727.21</v>
      </c>
      <c r="H267" s="4">
        <v>4363.26</v>
      </c>
      <c r="I267" s="18">
        <f>WEEKDAY(Table1[[#This Row],[Date]],3)</f>
        <v>5</v>
      </c>
    </row>
    <row r="268" spans="1:9" x14ac:dyDescent="0.3">
      <c r="A268" s="1">
        <v>45350</v>
      </c>
      <c r="B268" t="s">
        <v>28</v>
      </c>
      <c r="C268" t="s">
        <v>9</v>
      </c>
      <c r="D268" t="s">
        <v>18</v>
      </c>
      <c r="E268" t="s">
        <v>11</v>
      </c>
      <c r="F268">
        <v>14</v>
      </c>
      <c r="G268" s="3">
        <v>1112.92</v>
      </c>
      <c r="H268" s="4">
        <v>15580.88</v>
      </c>
      <c r="I268" s="18">
        <f>WEEKDAY(Table1[[#This Row],[Date]],3)</f>
        <v>2</v>
      </c>
    </row>
    <row r="269" spans="1:9" x14ac:dyDescent="0.3">
      <c r="A269" s="1">
        <v>45567</v>
      </c>
      <c r="B269" t="s">
        <v>28</v>
      </c>
      <c r="C269" t="s">
        <v>24</v>
      </c>
      <c r="D269" t="s">
        <v>21</v>
      </c>
      <c r="E269" t="s">
        <v>11</v>
      </c>
      <c r="F269">
        <v>11</v>
      </c>
      <c r="G269" s="3">
        <v>710.43</v>
      </c>
      <c r="H269" s="4">
        <v>7814.73</v>
      </c>
      <c r="I269" s="18">
        <f>WEEKDAY(Table1[[#This Row],[Date]],3)</f>
        <v>2</v>
      </c>
    </row>
    <row r="270" spans="1:9" x14ac:dyDescent="0.3">
      <c r="A270" s="1">
        <v>45508</v>
      </c>
      <c r="B270" t="s">
        <v>17</v>
      </c>
      <c r="C270" t="s">
        <v>9</v>
      </c>
      <c r="D270" t="s">
        <v>18</v>
      </c>
      <c r="E270" t="s">
        <v>11</v>
      </c>
      <c r="F270">
        <v>18</v>
      </c>
      <c r="G270" s="3">
        <v>2263.98</v>
      </c>
      <c r="H270" s="4">
        <v>40751.64</v>
      </c>
      <c r="I270" s="18">
        <f>WEEKDAY(Table1[[#This Row],[Date]],3)</f>
        <v>6</v>
      </c>
    </row>
    <row r="271" spans="1:9" x14ac:dyDescent="0.3">
      <c r="A271" s="1">
        <v>45585</v>
      </c>
      <c r="B271" t="s">
        <v>8</v>
      </c>
      <c r="C271" t="s">
        <v>13</v>
      </c>
      <c r="D271" t="s">
        <v>21</v>
      </c>
      <c r="E271" t="s">
        <v>16</v>
      </c>
      <c r="F271">
        <v>16</v>
      </c>
      <c r="G271" s="3">
        <v>1516.67</v>
      </c>
      <c r="H271" s="4">
        <v>24266.720000000001</v>
      </c>
      <c r="I271" s="18">
        <f>WEEKDAY(Table1[[#This Row],[Date]],3)</f>
        <v>6</v>
      </c>
    </row>
    <row r="272" spans="1:9" x14ac:dyDescent="0.3">
      <c r="A272" s="1">
        <v>45299</v>
      </c>
      <c r="B272" t="s">
        <v>17</v>
      </c>
      <c r="C272" t="s">
        <v>9</v>
      </c>
      <c r="D272" t="s">
        <v>18</v>
      </c>
      <c r="E272" t="s">
        <v>16</v>
      </c>
      <c r="F272">
        <v>6</v>
      </c>
      <c r="G272" s="3">
        <v>3052.21</v>
      </c>
      <c r="H272" s="4">
        <v>18313.259999999998</v>
      </c>
      <c r="I272" s="18">
        <f>WEEKDAY(Table1[[#This Row],[Date]],3)</f>
        <v>0</v>
      </c>
    </row>
    <row r="273" spans="1:9" x14ac:dyDescent="0.3">
      <c r="A273" s="1">
        <v>45377</v>
      </c>
      <c r="B273" t="s">
        <v>17</v>
      </c>
      <c r="C273" t="s">
        <v>9</v>
      </c>
      <c r="D273" t="s">
        <v>10</v>
      </c>
      <c r="E273" t="s">
        <v>22</v>
      </c>
      <c r="F273">
        <v>11</v>
      </c>
      <c r="G273" s="3">
        <v>2774.87</v>
      </c>
      <c r="H273" s="4">
        <v>30523.57</v>
      </c>
      <c r="I273" s="18">
        <f>WEEKDAY(Table1[[#This Row],[Date]],3)</f>
        <v>1</v>
      </c>
    </row>
    <row r="274" spans="1:9" x14ac:dyDescent="0.3">
      <c r="A274" s="1">
        <v>45405</v>
      </c>
      <c r="B274" t="s">
        <v>17</v>
      </c>
      <c r="C274" t="s">
        <v>9</v>
      </c>
      <c r="D274" t="s">
        <v>15</v>
      </c>
      <c r="E274" t="s">
        <v>26</v>
      </c>
      <c r="F274">
        <v>12</v>
      </c>
      <c r="G274" s="3">
        <v>1919.66</v>
      </c>
      <c r="H274" s="4">
        <v>23035.919999999998</v>
      </c>
      <c r="I274" s="18">
        <f>WEEKDAY(Table1[[#This Row],[Date]],3)</f>
        <v>1</v>
      </c>
    </row>
    <row r="275" spans="1:9" x14ac:dyDescent="0.3">
      <c r="A275" s="1">
        <v>45636</v>
      </c>
      <c r="B275" t="s">
        <v>8</v>
      </c>
      <c r="C275" t="s">
        <v>9</v>
      </c>
      <c r="D275" t="s">
        <v>18</v>
      </c>
      <c r="E275" t="s">
        <v>11</v>
      </c>
      <c r="F275">
        <v>16</v>
      </c>
      <c r="G275" s="3">
        <v>1435.32</v>
      </c>
      <c r="H275" s="4">
        <v>22965.119999999999</v>
      </c>
      <c r="I275" s="18">
        <f>WEEKDAY(Table1[[#This Row],[Date]],3)</f>
        <v>1</v>
      </c>
    </row>
    <row r="276" spans="1:9" x14ac:dyDescent="0.3">
      <c r="A276" s="1">
        <v>45595</v>
      </c>
      <c r="B276" t="s">
        <v>28</v>
      </c>
      <c r="C276" t="s">
        <v>9</v>
      </c>
      <c r="D276" t="s">
        <v>15</v>
      </c>
      <c r="E276" t="s">
        <v>19</v>
      </c>
      <c r="F276">
        <v>2</v>
      </c>
      <c r="G276" s="3">
        <v>1299.6500000000001</v>
      </c>
      <c r="H276" s="4">
        <v>2599.3000000000002</v>
      </c>
      <c r="I276" s="18">
        <f>WEEKDAY(Table1[[#This Row],[Date]],3)</f>
        <v>2</v>
      </c>
    </row>
    <row r="277" spans="1:9" x14ac:dyDescent="0.3">
      <c r="A277" s="1">
        <v>45354</v>
      </c>
      <c r="B277" t="s">
        <v>20</v>
      </c>
      <c r="C277" t="s">
        <v>9</v>
      </c>
      <c r="D277" t="s">
        <v>18</v>
      </c>
      <c r="E277" t="s">
        <v>26</v>
      </c>
      <c r="F277">
        <v>16</v>
      </c>
      <c r="G277" s="3">
        <v>5757.28</v>
      </c>
      <c r="H277" s="4">
        <v>92116.479999999996</v>
      </c>
      <c r="I277" s="18">
        <f>WEEKDAY(Table1[[#This Row],[Date]],3)</f>
        <v>6</v>
      </c>
    </row>
    <row r="278" spans="1:9" x14ac:dyDescent="0.3">
      <c r="A278" s="1">
        <v>45536</v>
      </c>
      <c r="B278" t="s">
        <v>20</v>
      </c>
      <c r="C278" t="s">
        <v>13</v>
      </c>
      <c r="D278" t="s">
        <v>21</v>
      </c>
      <c r="E278" t="s">
        <v>22</v>
      </c>
      <c r="F278">
        <v>6</v>
      </c>
      <c r="G278" s="3">
        <v>4481.1000000000004</v>
      </c>
      <c r="H278" s="4">
        <v>26886.6</v>
      </c>
      <c r="I278" s="18">
        <f>WEEKDAY(Table1[[#This Row],[Date]],3)</f>
        <v>6</v>
      </c>
    </row>
    <row r="279" spans="1:9" x14ac:dyDescent="0.3">
      <c r="A279" s="1">
        <v>45393</v>
      </c>
      <c r="B279" t="s">
        <v>27</v>
      </c>
      <c r="C279" t="s">
        <v>24</v>
      </c>
      <c r="D279" t="s">
        <v>15</v>
      </c>
      <c r="E279" t="s">
        <v>22</v>
      </c>
      <c r="F279">
        <v>13</v>
      </c>
      <c r="G279" s="3">
        <v>942.95</v>
      </c>
      <c r="H279" s="4">
        <v>12258.35</v>
      </c>
      <c r="I279" s="18">
        <f>WEEKDAY(Table1[[#This Row],[Date]],3)</f>
        <v>3</v>
      </c>
    </row>
    <row r="280" spans="1:9" x14ac:dyDescent="0.3">
      <c r="A280" s="1">
        <v>45630</v>
      </c>
      <c r="B280" t="s">
        <v>25</v>
      </c>
      <c r="C280" t="s">
        <v>24</v>
      </c>
      <c r="D280" t="s">
        <v>15</v>
      </c>
      <c r="E280" t="s">
        <v>26</v>
      </c>
      <c r="F280">
        <v>15</v>
      </c>
      <c r="G280" s="3">
        <v>16171.88</v>
      </c>
      <c r="H280" s="4">
        <v>242578.2</v>
      </c>
      <c r="I280" s="18">
        <f>WEEKDAY(Table1[[#This Row],[Date]],3)</f>
        <v>2</v>
      </c>
    </row>
    <row r="281" spans="1:9" x14ac:dyDescent="0.3">
      <c r="A281" s="1">
        <v>45490</v>
      </c>
      <c r="B281" t="s">
        <v>28</v>
      </c>
      <c r="C281" t="s">
        <v>13</v>
      </c>
      <c r="D281" t="s">
        <v>21</v>
      </c>
      <c r="E281" t="s">
        <v>16</v>
      </c>
      <c r="F281">
        <v>1</v>
      </c>
      <c r="G281" s="3">
        <v>842.53</v>
      </c>
      <c r="H281" s="4">
        <v>842.53</v>
      </c>
      <c r="I281" s="18">
        <f>WEEKDAY(Table1[[#This Row],[Date]],3)</f>
        <v>2</v>
      </c>
    </row>
    <row r="282" spans="1:9" x14ac:dyDescent="0.3">
      <c r="A282" s="1">
        <v>45582</v>
      </c>
      <c r="B282" t="s">
        <v>29</v>
      </c>
      <c r="C282" t="s">
        <v>24</v>
      </c>
      <c r="D282" t="s">
        <v>10</v>
      </c>
      <c r="E282" t="s">
        <v>11</v>
      </c>
      <c r="F282">
        <v>8</v>
      </c>
      <c r="G282" s="3">
        <v>3853.25</v>
      </c>
      <c r="H282" s="4">
        <v>30826</v>
      </c>
      <c r="I282" s="18">
        <f>WEEKDAY(Table1[[#This Row],[Date]],3)</f>
        <v>3</v>
      </c>
    </row>
    <row r="283" spans="1:9" x14ac:dyDescent="0.3">
      <c r="A283" s="1">
        <v>45621</v>
      </c>
      <c r="B283" t="s">
        <v>17</v>
      </c>
      <c r="C283" t="s">
        <v>24</v>
      </c>
      <c r="D283" t="s">
        <v>18</v>
      </c>
      <c r="E283" t="s">
        <v>11</v>
      </c>
      <c r="F283">
        <v>8</v>
      </c>
      <c r="G283" s="3">
        <v>2528.62</v>
      </c>
      <c r="H283" s="4">
        <v>20228.96</v>
      </c>
      <c r="I283" s="18">
        <f>WEEKDAY(Table1[[#This Row],[Date]],3)</f>
        <v>0</v>
      </c>
    </row>
    <row r="284" spans="1:9" x14ac:dyDescent="0.3">
      <c r="A284" s="1">
        <v>45408</v>
      </c>
      <c r="B284" t="s">
        <v>12</v>
      </c>
      <c r="C284" t="s">
        <v>9</v>
      </c>
      <c r="D284" t="s">
        <v>21</v>
      </c>
      <c r="E284" t="s">
        <v>16</v>
      </c>
      <c r="F284">
        <v>2</v>
      </c>
      <c r="G284" s="3">
        <v>914.38</v>
      </c>
      <c r="H284" s="4">
        <v>1828.76</v>
      </c>
      <c r="I284" s="18">
        <f>WEEKDAY(Table1[[#This Row],[Date]],3)</f>
        <v>4</v>
      </c>
    </row>
    <row r="285" spans="1:9" x14ac:dyDescent="0.3">
      <c r="A285" s="1">
        <v>45591</v>
      </c>
      <c r="B285" t="s">
        <v>8</v>
      </c>
      <c r="C285" t="s">
        <v>13</v>
      </c>
      <c r="D285" t="s">
        <v>10</v>
      </c>
      <c r="E285" t="s">
        <v>22</v>
      </c>
      <c r="F285">
        <v>12</v>
      </c>
      <c r="G285" s="3">
        <v>1527.98</v>
      </c>
      <c r="H285" s="4">
        <v>18335.759999999998</v>
      </c>
      <c r="I285" s="18">
        <f>WEEKDAY(Table1[[#This Row],[Date]],3)</f>
        <v>5</v>
      </c>
    </row>
    <row r="286" spans="1:9" x14ac:dyDescent="0.3">
      <c r="A286" s="1">
        <v>45312</v>
      </c>
      <c r="B286" t="s">
        <v>23</v>
      </c>
      <c r="C286" t="s">
        <v>13</v>
      </c>
      <c r="D286" t="s">
        <v>10</v>
      </c>
      <c r="E286" t="s">
        <v>16</v>
      </c>
      <c r="F286">
        <v>15</v>
      </c>
      <c r="G286" s="3">
        <v>1269.1300000000001</v>
      </c>
      <c r="H286" s="4">
        <v>19036.95</v>
      </c>
      <c r="I286" s="18">
        <f>WEEKDAY(Table1[[#This Row],[Date]],3)</f>
        <v>6</v>
      </c>
    </row>
    <row r="287" spans="1:9" x14ac:dyDescent="0.3">
      <c r="A287" s="1">
        <v>45494</v>
      </c>
      <c r="B287" t="s">
        <v>27</v>
      </c>
      <c r="C287" t="s">
        <v>13</v>
      </c>
      <c r="D287" t="s">
        <v>21</v>
      </c>
      <c r="E287" t="s">
        <v>16</v>
      </c>
      <c r="F287">
        <v>13</v>
      </c>
      <c r="G287" s="3">
        <v>728.78</v>
      </c>
      <c r="H287" s="4">
        <v>9474.14</v>
      </c>
      <c r="I287" s="18">
        <f>WEEKDAY(Table1[[#This Row],[Date]],3)</f>
        <v>6</v>
      </c>
    </row>
    <row r="288" spans="1:9" x14ac:dyDescent="0.3">
      <c r="A288" s="1">
        <v>45581</v>
      </c>
      <c r="B288" t="s">
        <v>8</v>
      </c>
      <c r="C288" t="s">
        <v>9</v>
      </c>
      <c r="D288" t="s">
        <v>21</v>
      </c>
      <c r="E288" t="s">
        <v>11</v>
      </c>
      <c r="F288">
        <v>15</v>
      </c>
      <c r="G288" s="3">
        <v>1223.23</v>
      </c>
      <c r="H288" s="4">
        <v>18348.45</v>
      </c>
      <c r="I288" s="18">
        <f>WEEKDAY(Table1[[#This Row],[Date]],3)</f>
        <v>2</v>
      </c>
    </row>
    <row r="289" spans="1:9" x14ac:dyDescent="0.3">
      <c r="A289" s="1">
        <v>45427</v>
      </c>
      <c r="B289" t="s">
        <v>12</v>
      </c>
      <c r="C289" t="s">
        <v>24</v>
      </c>
      <c r="D289" t="s">
        <v>15</v>
      </c>
      <c r="E289" t="s">
        <v>22</v>
      </c>
      <c r="F289">
        <v>17</v>
      </c>
      <c r="G289" s="3">
        <v>1157.43</v>
      </c>
      <c r="H289" s="4">
        <v>19676.310000000001</v>
      </c>
      <c r="I289" s="18">
        <f>WEEKDAY(Table1[[#This Row],[Date]],3)</f>
        <v>2</v>
      </c>
    </row>
    <row r="290" spans="1:9" x14ac:dyDescent="0.3">
      <c r="A290" s="1">
        <v>45381</v>
      </c>
      <c r="B290" t="s">
        <v>20</v>
      </c>
      <c r="C290" t="s">
        <v>24</v>
      </c>
      <c r="D290" t="s">
        <v>10</v>
      </c>
      <c r="E290" t="s">
        <v>19</v>
      </c>
      <c r="F290">
        <v>10</v>
      </c>
      <c r="G290" s="3">
        <v>5899.34</v>
      </c>
      <c r="H290" s="4">
        <v>58993.4</v>
      </c>
      <c r="I290" s="18">
        <f>WEEKDAY(Table1[[#This Row],[Date]],3)</f>
        <v>5</v>
      </c>
    </row>
    <row r="291" spans="1:9" x14ac:dyDescent="0.3">
      <c r="A291" s="1">
        <v>45450</v>
      </c>
      <c r="B291" t="s">
        <v>23</v>
      </c>
      <c r="C291" t="s">
        <v>13</v>
      </c>
      <c r="D291" t="s">
        <v>21</v>
      </c>
      <c r="E291" t="s">
        <v>26</v>
      </c>
      <c r="F291">
        <v>10</v>
      </c>
      <c r="G291" s="3">
        <v>1216.71</v>
      </c>
      <c r="H291" s="4">
        <v>12167.1</v>
      </c>
      <c r="I291" s="18">
        <f>WEEKDAY(Table1[[#This Row],[Date]],3)</f>
        <v>4</v>
      </c>
    </row>
    <row r="292" spans="1:9" x14ac:dyDescent="0.3">
      <c r="A292" s="1">
        <v>45327</v>
      </c>
      <c r="B292" t="s">
        <v>8</v>
      </c>
      <c r="C292" t="s">
        <v>24</v>
      </c>
      <c r="D292" t="s">
        <v>10</v>
      </c>
      <c r="E292" t="s">
        <v>26</v>
      </c>
      <c r="F292">
        <v>12</v>
      </c>
      <c r="G292" s="3">
        <v>871.26</v>
      </c>
      <c r="H292" s="4">
        <v>10455.120000000001</v>
      </c>
      <c r="I292" s="18">
        <f>WEEKDAY(Table1[[#This Row],[Date]],3)</f>
        <v>0</v>
      </c>
    </row>
    <row r="293" spans="1:9" x14ac:dyDescent="0.3">
      <c r="A293" s="1">
        <v>45653</v>
      </c>
      <c r="B293" t="s">
        <v>23</v>
      </c>
      <c r="C293" t="s">
        <v>24</v>
      </c>
      <c r="D293" t="s">
        <v>15</v>
      </c>
      <c r="E293" t="s">
        <v>16</v>
      </c>
      <c r="F293">
        <v>9</v>
      </c>
      <c r="G293" s="3">
        <v>1764.37</v>
      </c>
      <c r="H293" s="4">
        <v>15879.33</v>
      </c>
      <c r="I293" s="18">
        <f>WEEKDAY(Table1[[#This Row],[Date]],3)</f>
        <v>4</v>
      </c>
    </row>
    <row r="294" spans="1:9" x14ac:dyDescent="0.3">
      <c r="A294" s="1">
        <v>45562</v>
      </c>
      <c r="B294" t="s">
        <v>12</v>
      </c>
      <c r="C294" t="s">
        <v>24</v>
      </c>
      <c r="D294" t="s">
        <v>18</v>
      </c>
      <c r="E294" t="s">
        <v>16</v>
      </c>
      <c r="F294">
        <v>10</v>
      </c>
      <c r="G294" s="3">
        <v>1116.01</v>
      </c>
      <c r="H294" s="4">
        <v>11160.1</v>
      </c>
      <c r="I294" s="18">
        <f>WEEKDAY(Table1[[#This Row],[Date]],3)</f>
        <v>4</v>
      </c>
    </row>
    <row r="295" spans="1:9" x14ac:dyDescent="0.3">
      <c r="A295" s="1">
        <v>45499</v>
      </c>
      <c r="B295" t="s">
        <v>25</v>
      </c>
      <c r="C295" t="s">
        <v>24</v>
      </c>
      <c r="D295" t="s">
        <v>10</v>
      </c>
      <c r="E295" t="s">
        <v>16</v>
      </c>
      <c r="F295">
        <v>4</v>
      </c>
      <c r="G295" s="3">
        <v>12973.25</v>
      </c>
      <c r="H295" s="4">
        <v>51893</v>
      </c>
      <c r="I295" s="18">
        <f>WEEKDAY(Table1[[#This Row],[Date]],3)</f>
        <v>4</v>
      </c>
    </row>
    <row r="296" spans="1:9" x14ac:dyDescent="0.3">
      <c r="A296" s="1">
        <v>45310</v>
      </c>
      <c r="B296" t="s">
        <v>8</v>
      </c>
      <c r="C296" t="s">
        <v>13</v>
      </c>
      <c r="D296" t="s">
        <v>15</v>
      </c>
      <c r="E296" t="s">
        <v>26</v>
      </c>
      <c r="F296">
        <v>18</v>
      </c>
      <c r="G296" s="3">
        <v>1391.99</v>
      </c>
      <c r="H296" s="4">
        <v>25055.82</v>
      </c>
      <c r="I296" s="18">
        <f>WEEKDAY(Table1[[#This Row],[Date]],3)</f>
        <v>4</v>
      </c>
    </row>
    <row r="297" spans="1:9" x14ac:dyDescent="0.3">
      <c r="A297" s="1">
        <v>45533</v>
      </c>
      <c r="B297" t="s">
        <v>28</v>
      </c>
      <c r="C297" t="s">
        <v>13</v>
      </c>
      <c r="D297" t="s">
        <v>18</v>
      </c>
      <c r="E297" t="s">
        <v>11</v>
      </c>
      <c r="F297">
        <v>12</v>
      </c>
      <c r="G297" s="3">
        <v>1217.68</v>
      </c>
      <c r="H297" s="4">
        <v>14612.16</v>
      </c>
      <c r="I297" s="18">
        <f>WEEKDAY(Table1[[#This Row],[Date]],3)</f>
        <v>3</v>
      </c>
    </row>
    <row r="298" spans="1:9" x14ac:dyDescent="0.3">
      <c r="A298" s="1">
        <v>45410</v>
      </c>
      <c r="B298" t="s">
        <v>28</v>
      </c>
      <c r="C298" t="s">
        <v>9</v>
      </c>
      <c r="D298" t="s">
        <v>15</v>
      </c>
      <c r="E298" t="s">
        <v>16</v>
      </c>
      <c r="F298">
        <v>15</v>
      </c>
      <c r="G298" s="3">
        <v>838.15</v>
      </c>
      <c r="H298" s="4">
        <v>12572.25</v>
      </c>
      <c r="I298" s="18">
        <f>WEEKDAY(Table1[[#This Row],[Date]],3)</f>
        <v>6</v>
      </c>
    </row>
    <row r="299" spans="1:9" x14ac:dyDescent="0.3">
      <c r="A299" s="1">
        <v>45451</v>
      </c>
      <c r="B299" t="s">
        <v>12</v>
      </c>
      <c r="C299" t="s">
        <v>9</v>
      </c>
      <c r="D299" t="s">
        <v>15</v>
      </c>
      <c r="E299" t="s">
        <v>16</v>
      </c>
      <c r="F299">
        <v>2</v>
      </c>
      <c r="G299" s="3">
        <v>778.25</v>
      </c>
      <c r="H299" s="4">
        <v>1556.5</v>
      </c>
      <c r="I299" s="18">
        <f>WEEKDAY(Table1[[#This Row],[Date]],3)</f>
        <v>5</v>
      </c>
    </row>
    <row r="300" spans="1:9" x14ac:dyDescent="0.3">
      <c r="A300" s="1">
        <v>45554</v>
      </c>
      <c r="B300" t="s">
        <v>28</v>
      </c>
      <c r="C300" t="s">
        <v>24</v>
      </c>
      <c r="D300" t="s">
        <v>10</v>
      </c>
      <c r="E300" t="s">
        <v>22</v>
      </c>
      <c r="F300">
        <v>7</v>
      </c>
      <c r="G300" s="3">
        <v>1134.71</v>
      </c>
      <c r="H300" s="4">
        <v>7942.97</v>
      </c>
      <c r="I300" s="18">
        <f>WEEKDAY(Table1[[#This Row],[Date]],3)</f>
        <v>3</v>
      </c>
    </row>
    <row r="301" spans="1:9" x14ac:dyDescent="0.3">
      <c r="A301" s="1">
        <v>45571</v>
      </c>
      <c r="B301" t="s">
        <v>27</v>
      </c>
      <c r="C301" t="s">
        <v>24</v>
      </c>
      <c r="D301" t="s">
        <v>15</v>
      </c>
      <c r="E301" t="s">
        <v>22</v>
      </c>
      <c r="F301">
        <v>7</v>
      </c>
      <c r="G301" s="3">
        <v>930.86</v>
      </c>
      <c r="H301" s="4">
        <v>6516.02</v>
      </c>
      <c r="I301" s="18">
        <f>WEEKDAY(Table1[[#This Row],[Date]],3)</f>
        <v>6</v>
      </c>
    </row>
    <row r="302" spans="1:9" x14ac:dyDescent="0.3">
      <c r="A302" s="1">
        <v>45327</v>
      </c>
      <c r="B302" t="s">
        <v>14</v>
      </c>
      <c r="C302" t="s">
        <v>9</v>
      </c>
      <c r="D302" t="s">
        <v>18</v>
      </c>
      <c r="E302" t="s">
        <v>19</v>
      </c>
      <c r="F302">
        <v>3</v>
      </c>
      <c r="G302" s="3">
        <v>564.42999999999995</v>
      </c>
      <c r="H302" s="4">
        <v>1693.29</v>
      </c>
      <c r="I302" s="18">
        <f>WEEKDAY(Table1[[#This Row],[Date]],3)</f>
        <v>0</v>
      </c>
    </row>
    <row r="303" spans="1:9" x14ac:dyDescent="0.3">
      <c r="A303" s="1">
        <v>45644</v>
      </c>
      <c r="B303" t="s">
        <v>29</v>
      </c>
      <c r="C303" t="s">
        <v>9</v>
      </c>
      <c r="D303" t="s">
        <v>10</v>
      </c>
      <c r="E303" t="s">
        <v>19</v>
      </c>
      <c r="F303">
        <v>13</v>
      </c>
      <c r="G303" s="3">
        <v>3540.03</v>
      </c>
      <c r="H303" s="4">
        <v>46020.39</v>
      </c>
      <c r="I303" s="18">
        <f>WEEKDAY(Table1[[#This Row],[Date]],3)</f>
        <v>2</v>
      </c>
    </row>
    <row r="304" spans="1:9" x14ac:dyDescent="0.3">
      <c r="A304" s="1">
        <v>45421</v>
      </c>
      <c r="B304" t="s">
        <v>28</v>
      </c>
      <c r="C304" t="s">
        <v>13</v>
      </c>
      <c r="D304" t="s">
        <v>21</v>
      </c>
      <c r="E304" t="s">
        <v>16</v>
      </c>
      <c r="F304">
        <v>8</v>
      </c>
      <c r="G304" s="3">
        <v>1228.05</v>
      </c>
      <c r="H304" s="4">
        <v>9824.4</v>
      </c>
      <c r="I304" s="18">
        <f>WEEKDAY(Table1[[#This Row],[Date]],3)</f>
        <v>3</v>
      </c>
    </row>
    <row r="305" spans="1:9" x14ac:dyDescent="0.3">
      <c r="A305" s="1">
        <v>45341</v>
      </c>
      <c r="B305" t="s">
        <v>27</v>
      </c>
      <c r="C305" t="s">
        <v>24</v>
      </c>
      <c r="D305" t="s">
        <v>21</v>
      </c>
      <c r="E305" t="s">
        <v>16</v>
      </c>
      <c r="F305">
        <v>3</v>
      </c>
      <c r="G305" s="3">
        <v>651.36</v>
      </c>
      <c r="H305" s="4">
        <v>1954.08</v>
      </c>
      <c r="I305" s="18">
        <f>WEEKDAY(Table1[[#This Row],[Date]],3)</f>
        <v>0</v>
      </c>
    </row>
    <row r="306" spans="1:9" x14ac:dyDescent="0.3">
      <c r="A306" s="1">
        <v>45421</v>
      </c>
      <c r="B306" t="s">
        <v>23</v>
      </c>
      <c r="C306" t="s">
        <v>24</v>
      </c>
      <c r="D306" t="s">
        <v>15</v>
      </c>
      <c r="E306" t="s">
        <v>26</v>
      </c>
      <c r="F306">
        <v>3</v>
      </c>
      <c r="G306" s="3">
        <v>1707.59</v>
      </c>
      <c r="H306" s="4">
        <v>5122.7700000000004</v>
      </c>
      <c r="I306" s="18">
        <f>WEEKDAY(Table1[[#This Row],[Date]],3)</f>
        <v>3</v>
      </c>
    </row>
    <row r="307" spans="1:9" x14ac:dyDescent="0.3">
      <c r="A307" s="1">
        <v>45577</v>
      </c>
      <c r="B307" t="s">
        <v>8</v>
      </c>
      <c r="C307" t="s">
        <v>24</v>
      </c>
      <c r="D307" t="s">
        <v>21</v>
      </c>
      <c r="E307" t="s">
        <v>22</v>
      </c>
      <c r="F307">
        <v>4</v>
      </c>
      <c r="G307" s="3">
        <v>1532.4</v>
      </c>
      <c r="H307" s="4">
        <v>6129.6</v>
      </c>
      <c r="I307" s="18">
        <f>WEEKDAY(Table1[[#This Row],[Date]],3)</f>
        <v>5</v>
      </c>
    </row>
    <row r="308" spans="1:9" x14ac:dyDescent="0.3">
      <c r="A308" s="1">
        <v>45578</v>
      </c>
      <c r="B308" t="s">
        <v>20</v>
      </c>
      <c r="C308" t="s">
        <v>13</v>
      </c>
      <c r="D308" t="s">
        <v>21</v>
      </c>
      <c r="E308" t="s">
        <v>22</v>
      </c>
      <c r="F308">
        <v>16</v>
      </c>
      <c r="G308" s="3">
        <v>3503.71</v>
      </c>
      <c r="H308" s="4">
        <v>56059.360000000001</v>
      </c>
      <c r="I308" s="18">
        <f>WEEKDAY(Table1[[#This Row],[Date]],3)</f>
        <v>6</v>
      </c>
    </row>
    <row r="309" spans="1:9" x14ac:dyDescent="0.3">
      <c r="A309" s="1">
        <v>45427</v>
      </c>
      <c r="B309" t="s">
        <v>8</v>
      </c>
      <c r="C309" t="s">
        <v>13</v>
      </c>
      <c r="D309" t="s">
        <v>21</v>
      </c>
      <c r="E309" t="s">
        <v>16</v>
      </c>
      <c r="F309">
        <v>19</v>
      </c>
      <c r="G309" s="3">
        <v>949.74</v>
      </c>
      <c r="H309" s="4">
        <v>18045.060000000001</v>
      </c>
      <c r="I309" s="18">
        <f>WEEKDAY(Table1[[#This Row],[Date]],3)</f>
        <v>2</v>
      </c>
    </row>
    <row r="310" spans="1:9" x14ac:dyDescent="0.3">
      <c r="A310" s="1">
        <v>45296</v>
      </c>
      <c r="B310" t="s">
        <v>8</v>
      </c>
      <c r="C310" t="s">
        <v>9</v>
      </c>
      <c r="D310" t="s">
        <v>18</v>
      </c>
      <c r="E310" t="s">
        <v>16</v>
      </c>
      <c r="F310">
        <v>6</v>
      </c>
      <c r="G310" s="3">
        <v>1025.07</v>
      </c>
      <c r="H310" s="4">
        <v>6150.42</v>
      </c>
      <c r="I310" s="18">
        <f>WEEKDAY(Table1[[#This Row],[Date]],3)</f>
        <v>4</v>
      </c>
    </row>
    <row r="311" spans="1:9" x14ac:dyDescent="0.3">
      <c r="A311" s="1">
        <v>45522</v>
      </c>
      <c r="B311" t="s">
        <v>25</v>
      </c>
      <c r="C311" t="s">
        <v>9</v>
      </c>
      <c r="D311" t="s">
        <v>21</v>
      </c>
      <c r="E311" t="s">
        <v>19</v>
      </c>
      <c r="F311">
        <v>6</v>
      </c>
      <c r="G311" s="3">
        <v>11933.74</v>
      </c>
      <c r="H311" s="4">
        <v>71602.44</v>
      </c>
      <c r="I311" s="18">
        <f>WEEKDAY(Table1[[#This Row],[Date]],3)</f>
        <v>6</v>
      </c>
    </row>
    <row r="312" spans="1:9" x14ac:dyDescent="0.3">
      <c r="A312" s="1">
        <v>45433</v>
      </c>
      <c r="B312" t="s">
        <v>8</v>
      </c>
      <c r="C312" t="s">
        <v>9</v>
      </c>
      <c r="D312" t="s">
        <v>10</v>
      </c>
      <c r="E312" t="s">
        <v>22</v>
      </c>
      <c r="F312">
        <v>13</v>
      </c>
      <c r="G312" s="3">
        <v>1099.3</v>
      </c>
      <c r="H312" s="4">
        <v>14290.9</v>
      </c>
      <c r="I312" s="18">
        <f>WEEKDAY(Table1[[#This Row],[Date]],3)</f>
        <v>1</v>
      </c>
    </row>
    <row r="313" spans="1:9" x14ac:dyDescent="0.3">
      <c r="A313" s="1">
        <v>45632</v>
      </c>
      <c r="B313" t="s">
        <v>17</v>
      </c>
      <c r="C313" t="s">
        <v>13</v>
      </c>
      <c r="D313" t="s">
        <v>18</v>
      </c>
      <c r="E313" t="s">
        <v>26</v>
      </c>
      <c r="F313">
        <v>1</v>
      </c>
      <c r="G313" s="3">
        <v>2208.29</v>
      </c>
      <c r="H313" s="4">
        <v>2208.29</v>
      </c>
      <c r="I313" s="18">
        <f>WEEKDAY(Table1[[#This Row],[Date]],3)</f>
        <v>4</v>
      </c>
    </row>
    <row r="314" spans="1:9" x14ac:dyDescent="0.3">
      <c r="A314" s="1">
        <v>45471</v>
      </c>
      <c r="B314" t="s">
        <v>23</v>
      </c>
      <c r="C314" t="s">
        <v>24</v>
      </c>
      <c r="D314" t="s">
        <v>21</v>
      </c>
      <c r="E314" t="s">
        <v>22</v>
      </c>
      <c r="F314">
        <v>6</v>
      </c>
      <c r="G314" s="3">
        <v>1877.45</v>
      </c>
      <c r="H314" s="4">
        <v>11264.7</v>
      </c>
      <c r="I314" s="18">
        <f>WEEKDAY(Table1[[#This Row],[Date]],3)</f>
        <v>4</v>
      </c>
    </row>
    <row r="315" spans="1:9" x14ac:dyDescent="0.3">
      <c r="A315" s="1">
        <v>45434</v>
      </c>
      <c r="B315" t="s">
        <v>29</v>
      </c>
      <c r="C315" t="s">
        <v>9</v>
      </c>
      <c r="D315" t="s">
        <v>21</v>
      </c>
      <c r="E315" t="s">
        <v>22</v>
      </c>
      <c r="F315">
        <v>12</v>
      </c>
      <c r="G315" s="3">
        <v>4404.25</v>
      </c>
      <c r="H315" s="4">
        <v>52851</v>
      </c>
      <c r="I315" s="18">
        <f>WEEKDAY(Table1[[#This Row],[Date]],3)</f>
        <v>2</v>
      </c>
    </row>
    <row r="316" spans="1:9" x14ac:dyDescent="0.3">
      <c r="A316" s="1">
        <v>45333</v>
      </c>
      <c r="B316" t="s">
        <v>29</v>
      </c>
      <c r="C316" t="s">
        <v>24</v>
      </c>
      <c r="D316" t="s">
        <v>18</v>
      </c>
      <c r="E316" t="s">
        <v>11</v>
      </c>
      <c r="F316">
        <v>10</v>
      </c>
      <c r="G316" s="3">
        <v>4272.92</v>
      </c>
      <c r="H316" s="4">
        <v>42729.2</v>
      </c>
      <c r="I316" s="18">
        <f>WEEKDAY(Table1[[#This Row],[Date]],3)</f>
        <v>6</v>
      </c>
    </row>
    <row r="317" spans="1:9" x14ac:dyDescent="0.3">
      <c r="A317" s="1">
        <v>45425</v>
      </c>
      <c r="B317" t="s">
        <v>27</v>
      </c>
      <c r="C317" t="s">
        <v>13</v>
      </c>
      <c r="D317" t="s">
        <v>21</v>
      </c>
      <c r="E317" t="s">
        <v>26</v>
      </c>
      <c r="F317">
        <v>15</v>
      </c>
      <c r="G317" s="3">
        <v>753.43</v>
      </c>
      <c r="H317" s="4">
        <v>11301.45</v>
      </c>
      <c r="I317" s="18">
        <f>WEEKDAY(Table1[[#This Row],[Date]],3)</f>
        <v>0</v>
      </c>
    </row>
    <row r="318" spans="1:9" x14ac:dyDescent="0.3">
      <c r="A318" s="1">
        <v>45357</v>
      </c>
      <c r="B318" t="s">
        <v>17</v>
      </c>
      <c r="C318" t="s">
        <v>13</v>
      </c>
      <c r="D318" t="s">
        <v>15</v>
      </c>
      <c r="E318" t="s">
        <v>19</v>
      </c>
      <c r="F318">
        <v>18</v>
      </c>
      <c r="G318" s="3">
        <v>2711.46</v>
      </c>
      <c r="H318" s="4">
        <v>48806.28</v>
      </c>
      <c r="I318" s="18">
        <f>WEEKDAY(Table1[[#This Row],[Date]],3)</f>
        <v>2</v>
      </c>
    </row>
    <row r="319" spans="1:9" x14ac:dyDescent="0.3">
      <c r="A319" s="1">
        <v>45316</v>
      </c>
      <c r="B319" t="s">
        <v>17</v>
      </c>
      <c r="C319" t="s">
        <v>9</v>
      </c>
      <c r="D319" t="s">
        <v>18</v>
      </c>
      <c r="E319" t="s">
        <v>26</v>
      </c>
      <c r="F319">
        <v>4</v>
      </c>
      <c r="G319" s="3">
        <v>2659.56</v>
      </c>
      <c r="H319" s="4">
        <v>10638.24</v>
      </c>
      <c r="I319" s="18">
        <f>WEEKDAY(Table1[[#This Row],[Date]],3)</f>
        <v>3</v>
      </c>
    </row>
    <row r="320" spans="1:9" x14ac:dyDescent="0.3">
      <c r="A320" s="1">
        <v>45612</v>
      </c>
      <c r="B320" t="s">
        <v>29</v>
      </c>
      <c r="C320" t="s">
        <v>24</v>
      </c>
      <c r="D320" t="s">
        <v>18</v>
      </c>
      <c r="E320" t="s">
        <v>19</v>
      </c>
      <c r="F320">
        <v>3</v>
      </c>
      <c r="G320" s="3">
        <v>4450.87</v>
      </c>
      <c r="H320" s="4">
        <v>13352.61</v>
      </c>
      <c r="I320" s="18">
        <f>WEEKDAY(Table1[[#This Row],[Date]],3)</f>
        <v>5</v>
      </c>
    </row>
    <row r="321" spans="1:9" x14ac:dyDescent="0.3">
      <c r="A321" s="1">
        <v>45316</v>
      </c>
      <c r="B321" t="s">
        <v>28</v>
      </c>
      <c r="C321" t="s">
        <v>24</v>
      </c>
      <c r="D321" t="s">
        <v>21</v>
      </c>
      <c r="E321" t="s">
        <v>16</v>
      </c>
      <c r="F321">
        <v>2</v>
      </c>
      <c r="G321" s="3">
        <v>1003.66</v>
      </c>
      <c r="H321" s="4">
        <v>2007.32</v>
      </c>
      <c r="I321" s="18">
        <f>WEEKDAY(Table1[[#This Row],[Date]],3)</f>
        <v>3</v>
      </c>
    </row>
    <row r="322" spans="1:9" x14ac:dyDescent="0.3">
      <c r="A322" s="1">
        <v>45370</v>
      </c>
      <c r="B322" t="s">
        <v>8</v>
      </c>
      <c r="C322" t="s">
        <v>9</v>
      </c>
      <c r="D322" t="s">
        <v>21</v>
      </c>
      <c r="E322" t="s">
        <v>19</v>
      </c>
      <c r="F322">
        <v>13</v>
      </c>
      <c r="G322" s="3">
        <v>1514.24</v>
      </c>
      <c r="H322" s="4">
        <v>19685.12</v>
      </c>
      <c r="I322" s="18">
        <f>WEEKDAY(Table1[[#This Row],[Date]],3)</f>
        <v>1</v>
      </c>
    </row>
    <row r="323" spans="1:9" x14ac:dyDescent="0.3">
      <c r="A323" s="1">
        <v>45311</v>
      </c>
      <c r="B323" t="s">
        <v>17</v>
      </c>
      <c r="C323" t="s">
        <v>9</v>
      </c>
      <c r="D323" t="s">
        <v>21</v>
      </c>
      <c r="E323" t="s">
        <v>16</v>
      </c>
      <c r="F323">
        <v>11</v>
      </c>
      <c r="G323" s="3">
        <v>2679.38</v>
      </c>
      <c r="H323" s="4">
        <v>29473.18</v>
      </c>
      <c r="I323" s="18">
        <f>WEEKDAY(Table1[[#This Row],[Date]],3)</f>
        <v>5</v>
      </c>
    </row>
    <row r="324" spans="1:9" x14ac:dyDescent="0.3">
      <c r="A324" s="1">
        <v>45351</v>
      </c>
      <c r="B324" t="s">
        <v>23</v>
      </c>
      <c r="C324" t="s">
        <v>13</v>
      </c>
      <c r="D324" t="s">
        <v>10</v>
      </c>
      <c r="E324" t="s">
        <v>11</v>
      </c>
      <c r="F324">
        <v>5</v>
      </c>
      <c r="G324" s="3">
        <v>1752.69</v>
      </c>
      <c r="H324" s="4">
        <v>8763.4500000000007</v>
      </c>
      <c r="I324" s="18">
        <f>WEEKDAY(Table1[[#This Row],[Date]],3)</f>
        <v>3</v>
      </c>
    </row>
    <row r="325" spans="1:9" x14ac:dyDescent="0.3">
      <c r="A325" s="1">
        <v>45557</v>
      </c>
      <c r="B325" t="s">
        <v>20</v>
      </c>
      <c r="C325" t="s">
        <v>24</v>
      </c>
      <c r="D325" t="s">
        <v>15</v>
      </c>
      <c r="E325" t="s">
        <v>11</v>
      </c>
      <c r="F325">
        <v>18</v>
      </c>
      <c r="G325" s="3">
        <v>3673.34</v>
      </c>
      <c r="H325" s="4">
        <v>66120.12</v>
      </c>
      <c r="I325" s="18">
        <f>WEEKDAY(Table1[[#This Row],[Date]],3)</f>
        <v>6</v>
      </c>
    </row>
    <row r="326" spans="1:9" x14ac:dyDescent="0.3">
      <c r="A326" s="1">
        <v>45347</v>
      </c>
      <c r="B326" t="s">
        <v>20</v>
      </c>
      <c r="C326" t="s">
        <v>13</v>
      </c>
      <c r="D326" t="s">
        <v>10</v>
      </c>
      <c r="E326" t="s">
        <v>26</v>
      </c>
      <c r="F326">
        <v>3</v>
      </c>
      <c r="G326" s="3">
        <v>3723.89</v>
      </c>
      <c r="H326" s="4">
        <v>11171.67</v>
      </c>
      <c r="I326" s="18">
        <f>WEEKDAY(Table1[[#This Row],[Date]],3)</f>
        <v>6</v>
      </c>
    </row>
    <row r="327" spans="1:9" x14ac:dyDescent="0.3">
      <c r="A327" s="1">
        <v>45447</v>
      </c>
      <c r="B327" t="s">
        <v>27</v>
      </c>
      <c r="C327" t="s">
        <v>13</v>
      </c>
      <c r="D327" t="s">
        <v>21</v>
      </c>
      <c r="E327" t="s">
        <v>19</v>
      </c>
      <c r="F327">
        <v>1</v>
      </c>
      <c r="G327" s="3">
        <v>804.52</v>
      </c>
      <c r="H327" s="4">
        <v>804.52</v>
      </c>
      <c r="I327" s="18">
        <f>WEEKDAY(Table1[[#This Row],[Date]],3)</f>
        <v>1</v>
      </c>
    </row>
    <row r="328" spans="1:9" x14ac:dyDescent="0.3">
      <c r="A328" s="1">
        <v>45394</v>
      </c>
      <c r="B328" t="s">
        <v>14</v>
      </c>
      <c r="C328" t="s">
        <v>9</v>
      </c>
      <c r="D328" t="s">
        <v>18</v>
      </c>
      <c r="E328" t="s">
        <v>19</v>
      </c>
      <c r="F328">
        <v>4</v>
      </c>
      <c r="G328" s="3">
        <v>609.73</v>
      </c>
      <c r="H328" s="4">
        <v>2438.92</v>
      </c>
      <c r="I328" s="18">
        <f>WEEKDAY(Table1[[#This Row],[Date]],3)</f>
        <v>4</v>
      </c>
    </row>
    <row r="329" spans="1:9" x14ac:dyDescent="0.3">
      <c r="A329" s="1">
        <v>45522</v>
      </c>
      <c r="B329" t="s">
        <v>17</v>
      </c>
      <c r="C329" t="s">
        <v>13</v>
      </c>
      <c r="D329" t="s">
        <v>18</v>
      </c>
      <c r="E329" t="s">
        <v>19</v>
      </c>
      <c r="F329">
        <v>3</v>
      </c>
      <c r="G329" s="3">
        <v>2301.64</v>
      </c>
      <c r="H329" s="4">
        <v>6904.92</v>
      </c>
      <c r="I329" s="18">
        <f>WEEKDAY(Table1[[#This Row],[Date]],3)</f>
        <v>6</v>
      </c>
    </row>
    <row r="330" spans="1:9" x14ac:dyDescent="0.3">
      <c r="A330" s="1">
        <v>45383</v>
      </c>
      <c r="B330" t="s">
        <v>29</v>
      </c>
      <c r="C330" t="s">
        <v>24</v>
      </c>
      <c r="D330" t="s">
        <v>10</v>
      </c>
      <c r="E330" t="s">
        <v>16</v>
      </c>
      <c r="F330">
        <v>5</v>
      </c>
      <c r="G330" s="3">
        <v>2473.17</v>
      </c>
      <c r="H330" s="4">
        <v>12365.85</v>
      </c>
      <c r="I330" s="18">
        <f>WEEKDAY(Table1[[#This Row],[Date]],3)</f>
        <v>0</v>
      </c>
    </row>
    <row r="331" spans="1:9" x14ac:dyDescent="0.3">
      <c r="A331" s="1">
        <v>45353</v>
      </c>
      <c r="B331" t="s">
        <v>28</v>
      </c>
      <c r="C331" t="s">
        <v>24</v>
      </c>
      <c r="D331" t="s">
        <v>15</v>
      </c>
      <c r="E331" t="s">
        <v>16</v>
      </c>
      <c r="F331">
        <v>10</v>
      </c>
      <c r="G331" s="3">
        <v>1108.58</v>
      </c>
      <c r="H331" s="4">
        <v>11085.8</v>
      </c>
      <c r="I331" s="18">
        <f>WEEKDAY(Table1[[#This Row],[Date]],3)</f>
        <v>5</v>
      </c>
    </row>
    <row r="332" spans="1:9" x14ac:dyDescent="0.3">
      <c r="A332" s="1">
        <v>45356</v>
      </c>
      <c r="B332" t="s">
        <v>28</v>
      </c>
      <c r="C332" t="s">
        <v>24</v>
      </c>
      <c r="D332" t="s">
        <v>15</v>
      </c>
      <c r="E332" t="s">
        <v>16</v>
      </c>
      <c r="F332">
        <v>18</v>
      </c>
      <c r="G332" s="3">
        <v>738.77</v>
      </c>
      <c r="H332" s="4">
        <v>13297.86</v>
      </c>
      <c r="I332" s="18">
        <f>WEEKDAY(Table1[[#This Row],[Date]],3)</f>
        <v>1</v>
      </c>
    </row>
    <row r="333" spans="1:9" x14ac:dyDescent="0.3">
      <c r="A333" s="1">
        <v>45451</v>
      </c>
      <c r="B333" t="s">
        <v>8</v>
      </c>
      <c r="C333" t="s">
        <v>9</v>
      </c>
      <c r="D333" t="s">
        <v>10</v>
      </c>
      <c r="E333" t="s">
        <v>26</v>
      </c>
      <c r="F333">
        <v>11</v>
      </c>
      <c r="G333" s="3">
        <v>1167.1500000000001</v>
      </c>
      <c r="H333" s="4">
        <v>12838.65</v>
      </c>
      <c r="I333" s="18">
        <f>WEEKDAY(Table1[[#This Row],[Date]],3)</f>
        <v>5</v>
      </c>
    </row>
    <row r="334" spans="1:9" x14ac:dyDescent="0.3">
      <c r="A334" s="1">
        <v>45599</v>
      </c>
      <c r="B334" t="s">
        <v>23</v>
      </c>
      <c r="C334" t="s">
        <v>9</v>
      </c>
      <c r="D334" t="s">
        <v>15</v>
      </c>
      <c r="E334" t="s">
        <v>19</v>
      </c>
      <c r="F334">
        <v>2</v>
      </c>
      <c r="G334" s="3">
        <v>1342.21</v>
      </c>
      <c r="H334" s="4">
        <v>2684.42</v>
      </c>
      <c r="I334" s="18">
        <f>WEEKDAY(Table1[[#This Row],[Date]],3)</f>
        <v>6</v>
      </c>
    </row>
    <row r="335" spans="1:9" x14ac:dyDescent="0.3">
      <c r="A335" s="1">
        <v>45543</v>
      </c>
      <c r="B335" t="s">
        <v>17</v>
      </c>
      <c r="C335" t="s">
        <v>13</v>
      </c>
      <c r="D335" t="s">
        <v>18</v>
      </c>
      <c r="E335" t="s">
        <v>16</v>
      </c>
      <c r="F335">
        <v>6</v>
      </c>
      <c r="G335" s="3">
        <v>2338.59</v>
      </c>
      <c r="H335" s="4">
        <v>14031.54</v>
      </c>
      <c r="I335" s="18">
        <f>WEEKDAY(Table1[[#This Row],[Date]],3)</f>
        <v>6</v>
      </c>
    </row>
    <row r="336" spans="1:9" x14ac:dyDescent="0.3">
      <c r="A336" s="1">
        <v>45333</v>
      </c>
      <c r="B336" t="s">
        <v>25</v>
      </c>
      <c r="C336" t="s">
        <v>9</v>
      </c>
      <c r="D336" t="s">
        <v>21</v>
      </c>
      <c r="E336" t="s">
        <v>26</v>
      </c>
      <c r="F336">
        <v>9</v>
      </c>
      <c r="G336" s="3">
        <v>18985.48</v>
      </c>
      <c r="H336" s="4">
        <v>170869.32</v>
      </c>
      <c r="I336" s="18">
        <f>WEEKDAY(Table1[[#This Row],[Date]],3)</f>
        <v>6</v>
      </c>
    </row>
    <row r="337" spans="1:9" x14ac:dyDescent="0.3">
      <c r="A337" s="1">
        <v>45421</v>
      </c>
      <c r="B337" t="s">
        <v>25</v>
      </c>
      <c r="C337" t="s">
        <v>24</v>
      </c>
      <c r="D337" t="s">
        <v>15</v>
      </c>
      <c r="E337" t="s">
        <v>22</v>
      </c>
      <c r="F337">
        <v>8</v>
      </c>
      <c r="G337" s="3">
        <v>14653.3</v>
      </c>
      <c r="H337" s="4">
        <v>117226.4</v>
      </c>
      <c r="I337" s="18">
        <f>WEEKDAY(Table1[[#This Row],[Date]],3)</f>
        <v>3</v>
      </c>
    </row>
    <row r="338" spans="1:9" x14ac:dyDescent="0.3">
      <c r="A338" s="1">
        <v>45494</v>
      </c>
      <c r="B338" t="s">
        <v>23</v>
      </c>
      <c r="C338" t="s">
        <v>24</v>
      </c>
      <c r="D338" t="s">
        <v>21</v>
      </c>
      <c r="E338" t="s">
        <v>11</v>
      </c>
      <c r="F338">
        <v>8</v>
      </c>
      <c r="G338" s="3">
        <v>1254.27</v>
      </c>
      <c r="H338" s="4">
        <v>10034.16</v>
      </c>
      <c r="I338" s="18">
        <f>WEEKDAY(Table1[[#This Row],[Date]],3)</f>
        <v>6</v>
      </c>
    </row>
    <row r="339" spans="1:9" x14ac:dyDescent="0.3">
      <c r="A339" s="1">
        <v>45634</v>
      </c>
      <c r="B339" t="s">
        <v>14</v>
      </c>
      <c r="C339" t="s">
        <v>9</v>
      </c>
      <c r="D339" t="s">
        <v>10</v>
      </c>
      <c r="E339" t="s">
        <v>16</v>
      </c>
      <c r="F339">
        <v>12</v>
      </c>
      <c r="G339" s="3">
        <v>604.4</v>
      </c>
      <c r="H339" s="4">
        <v>7252.8</v>
      </c>
      <c r="I339" s="18">
        <f>WEEKDAY(Table1[[#This Row],[Date]],3)</f>
        <v>6</v>
      </c>
    </row>
    <row r="340" spans="1:9" x14ac:dyDescent="0.3">
      <c r="A340" s="1">
        <v>45392</v>
      </c>
      <c r="B340" t="s">
        <v>14</v>
      </c>
      <c r="C340" t="s">
        <v>9</v>
      </c>
      <c r="D340" t="s">
        <v>21</v>
      </c>
      <c r="E340" t="s">
        <v>26</v>
      </c>
      <c r="F340">
        <v>11</v>
      </c>
      <c r="G340" s="3">
        <v>657.25</v>
      </c>
      <c r="H340" s="4">
        <v>7229.75</v>
      </c>
      <c r="I340" s="18">
        <f>WEEKDAY(Table1[[#This Row],[Date]],3)</f>
        <v>2</v>
      </c>
    </row>
    <row r="341" spans="1:9" x14ac:dyDescent="0.3">
      <c r="A341" s="1">
        <v>45443</v>
      </c>
      <c r="B341" t="s">
        <v>25</v>
      </c>
      <c r="C341" t="s">
        <v>9</v>
      </c>
      <c r="D341" t="s">
        <v>21</v>
      </c>
      <c r="E341" t="s">
        <v>16</v>
      </c>
      <c r="F341">
        <v>8</v>
      </c>
      <c r="G341" s="3">
        <v>13679.26</v>
      </c>
      <c r="H341" s="4">
        <v>109434.08</v>
      </c>
      <c r="I341" s="18">
        <f>WEEKDAY(Table1[[#This Row],[Date]],3)</f>
        <v>4</v>
      </c>
    </row>
    <row r="342" spans="1:9" x14ac:dyDescent="0.3">
      <c r="A342" s="1">
        <v>45519</v>
      </c>
      <c r="B342" t="s">
        <v>8</v>
      </c>
      <c r="C342" t="s">
        <v>13</v>
      </c>
      <c r="D342" t="s">
        <v>10</v>
      </c>
      <c r="E342" t="s">
        <v>11</v>
      </c>
      <c r="F342">
        <v>19</v>
      </c>
      <c r="G342" s="3">
        <v>965.36</v>
      </c>
      <c r="H342" s="4">
        <v>18341.84</v>
      </c>
      <c r="I342" s="18">
        <f>WEEKDAY(Table1[[#This Row],[Date]],3)</f>
        <v>3</v>
      </c>
    </row>
    <row r="343" spans="1:9" x14ac:dyDescent="0.3">
      <c r="A343" s="1">
        <v>45552</v>
      </c>
      <c r="B343" t="s">
        <v>28</v>
      </c>
      <c r="C343" t="s">
        <v>24</v>
      </c>
      <c r="D343" t="s">
        <v>15</v>
      </c>
      <c r="E343" t="s">
        <v>22</v>
      </c>
      <c r="F343">
        <v>6</v>
      </c>
      <c r="G343" s="3">
        <v>749.57</v>
      </c>
      <c r="H343" s="4">
        <v>4497.42</v>
      </c>
      <c r="I343" s="18">
        <f>WEEKDAY(Table1[[#This Row],[Date]],3)</f>
        <v>1</v>
      </c>
    </row>
    <row r="344" spans="1:9" x14ac:dyDescent="0.3">
      <c r="A344" s="1">
        <v>45511</v>
      </c>
      <c r="B344" t="s">
        <v>25</v>
      </c>
      <c r="C344" t="s">
        <v>13</v>
      </c>
      <c r="D344" t="s">
        <v>21</v>
      </c>
      <c r="E344" t="s">
        <v>26</v>
      </c>
      <c r="F344">
        <v>9</v>
      </c>
      <c r="G344" s="3">
        <v>13937.46</v>
      </c>
      <c r="H344" s="4">
        <v>125437.14</v>
      </c>
      <c r="I344" s="18">
        <f>WEEKDAY(Table1[[#This Row],[Date]],3)</f>
        <v>2</v>
      </c>
    </row>
    <row r="345" spans="1:9" x14ac:dyDescent="0.3">
      <c r="A345" s="1">
        <v>45340</v>
      </c>
      <c r="B345" t="s">
        <v>8</v>
      </c>
      <c r="C345" t="s">
        <v>24</v>
      </c>
      <c r="D345" t="s">
        <v>21</v>
      </c>
      <c r="E345" t="s">
        <v>26</v>
      </c>
      <c r="F345">
        <v>9</v>
      </c>
      <c r="G345" s="3">
        <v>1531.08</v>
      </c>
      <c r="H345" s="4">
        <v>13779.72</v>
      </c>
      <c r="I345" s="18">
        <f>WEEKDAY(Table1[[#This Row],[Date]],3)</f>
        <v>6</v>
      </c>
    </row>
    <row r="346" spans="1:9" x14ac:dyDescent="0.3">
      <c r="A346" s="1">
        <v>45410</v>
      </c>
      <c r="B346" t="s">
        <v>17</v>
      </c>
      <c r="C346" t="s">
        <v>24</v>
      </c>
      <c r="D346" t="s">
        <v>18</v>
      </c>
      <c r="E346" t="s">
        <v>19</v>
      </c>
      <c r="F346">
        <v>12</v>
      </c>
      <c r="G346" s="3">
        <v>2461.5</v>
      </c>
      <c r="H346" s="4">
        <v>29538</v>
      </c>
      <c r="I346" s="18">
        <f>WEEKDAY(Table1[[#This Row],[Date]],3)</f>
        <v>6</v>
      </c>
    </row>
    <row r="347" spans="1:9" x14ac:dyDescent="0.3">
      <c r="A347" s="1">
        <v>45549</v>
      </c>
      <c r="B347" t="s">
        <v>29</v>
      </c>
      <c r="C347" t="s">
        <v>9</v>
      </c>
      <c r="D347" t="s">
        <v>18</v>
      </c>
      <c r="E347" t="s">
        <v>19</v>
      </c>
      <c r="F347">
        <v>2</v>
      </c>
      <c r="G347" s="3">
        <v>2719</v>
      </c>
      <c r="H347" s="4">
        <v>5438</v>
      </c>
      <c r="I347" s="18">
        <f>WEEKDAY(Table1[[#This Row],[Date]],3)</f>
        <v>5</v>
      </c>
    </row>
    <row r="348" spans="1:9" x14ac:dyDescent="0.3">
      <c r="A348" s="1">
        <v>45562</v>
      </c>
      <c r="B348" t="s">
        <v>25</v>
      </c>
      <c r="C348" t="s">
        <v>24</v>
      </c>
      <c r="D348" t="s">
        <v>10</v>
      </c>
      <c r="E348" t="s">
        <v>26</v>
      </c>
      <c r="F348">
        <v>8</v>
      </c>
      <c r="G348" s="3">
        <v>14388.69</v>
      </c>
      <c r="H348" s="4">
        <v>115109.52</v>
      </c>
      <c r="I348" s="18">
        <f>WEEKDAY(Table1[[#This Row],[Date]],3)</f>
        <v>4</v>
      </c>
    </row>
    <row r="349" spans="1:9" x14ac:dyDescent="0.3">
      <c r="A349" s="1">
        <v>45415</v>
      </c>
      <c r="B349" t="s">
        <v>12</v>
      </c>
      <c r="C349" t="s">
        <v>9</v>
      </c>
      <c r="D349" t="s">
        <v>15</v>
      </c>
      <c r="E349" t="s">
        <v>19</v>
      </c>
      <c r="F349">
        <v>12</v>
      </c>
      <c r="G349" s="3">
        <v>736.63</v>
      </c>
      <c r="H349" s="4">
        <v>8839.56</v>
      </c>
      <c r="I349" s="18">
        <f>WEEKDAY(Table1[[#This Row],[Date]],3)</f>
        <v>4</v>
      </c>
    </row>
    <row r="350" spans="1:9" x14ac:dyDescent="0.3">
      <c r="A350" s="1">
        <v>45465</v>
      </c>
      <c r="B350" t="s">
        <v>25</v>
      </c>
      <c r="C350" t="s">
        <v>9</v>
      </c>
      <c r="D350" t="s">
        <v>10</v>
      </c>
      <c r="E350" t="s">
        <v>22</v>
      </c>
      <c r="F350">
        <v>7</v>
      </c>
      <c r="G350" s="3">
        <v>18118.63</v>
      </c>
      <c r="H350" s="4">
        <v>126830.41</v>
      </c>
      <c r="I350" s="18">
        <f>WEEKDAY(Table1[[#This Row],[Date]],3)</f>
        <v>5</v>
      </c>
    </row>
    <row r="351" spans="1:9" x14ac:dyDescent="0.3">
      <c r="A351" s="1">
        <v>45524</v>
      </c>
      <c r="B351" t="s">
        <v>17</v>
      </c>
      <c r="C351" t="s">
        <v>9</v>
      </c>
      <c r="D351" t="s">
        <v>18</v>
      </c>
      <c r="E351" t="s">
        <v>16</v>
      </c>
      <c r="F351">
        <v>8</v>
      </c>
      <c r="G351" s="3">
        <v>2872.29</v>
      </c>
      <c r="H351" s="4">
        <v>22978.32</v>
      </c>
      <c r="I351" s="18">
        <f>WEEKDAY(Table1[[#This Row],[Date]],3)</f>
        <v>1</v>
      </c>
    </row>
    <row r="352" spans="1:9" x14ac:dyDescent="0.3">
      <c r="A352" s="1">
        <v>45529</v>
      </c>
      <c r="B352" t="s">
        <v>23</v>
      </c>
      <c r="C352" t="s">
        <v>13</v>
      </c>
      <c r="D352" t="s">
        <v>21</v>
      </c>
      <c r="E352" t="s">
        <v>11</v>
      </c>
      <c r="F352">
        <v>11</v>
      </c>
      <c r="G352" s="3">
        <v>1292.4000000000001</v>
      </c>
      <c r="H352" s="4">
        <v>14216.4</v>
      </c>
      <c r="I352" s="18">
        <f>WEEKDAY(Table1[[#This Row],[Date]],3)</f>
        <v>6</v>
      </c>
    </row>
    <row r="353" spans="1:9" x14ac:dyDescent="0.3">
      <c r="A353" s="1">
        <v>45639</v>
      </c>
      <c r="B353" t="s">
        <v>17</v>
      </c>
      <c r="C353" t="s">
        <v>24</v>
      </c>
      <c r="D353" t="s">
        <v>18</v>
      </c>
      <c r="E353" t="s">
        <v>16</v>
      </c>
      <c r="F353">
        <v>15</v>
      </c>
      <c r="G353" s="3">
        <v>1887.81</v>
      </c>
      <c r="H353" s="4">
        <v>28317.15</v>
      </c>
      <c r="I353" s="18">
        <f>WEEKDAY(Table1[[#This Row],[Date]],3)</f>
        <v>4</v>
      </c>
    </row>
    <row r="354" spans="1:9" x14ac:dyDescent="0.3">
      <c r="A354" s="1">
        <v>45341</v>
      </c>
      <c r="B354" t="s">
        <v>27</v>
      </c>
      <c r="C354" t="s">
        <v>13</v>
      </c>
      <c r="D354" t="s">
        <v>21</v>
      </c>
      <c r="E354" t="s">
        <v>19</v>
      </c>
      <c r="F354">
        <v>13</v>
      </c>
      <c r="G354" s="3">
        <v>758.44</v>
      </c>
      <c r="H354" s="4">
        <v>9859.7199999999993</v>
      </c>
      <c r="I354" s="18">
        <f>WEEKDAY(Table1[[#This Row],[Date]],3)</f>
        <v>0</v>
      </c>
    </row>
    <row r="355" spans="1:9" x14ac:dyDescent="0.3">
      <c r="A355" s="1">
        <v>45480</v>
      </c>
      <c r="B355" t="s">
        <v>25</v>
      </c>
      <c r="C355" t="s">
        <v>13</v>
      </c>
      <c r="D355" t="s">
        <v>10</v>
      </c>
      <c r="E355" t="s">
        <v>11</v>
      </c>
      <c r="F355">
        <v>7</v>
      </c>
      <c r="G355" s="3">
        <v>15694.56</v>
      </c>
      <c r="H355" s="4">
        <v>109861.92</v>
      </c>
      <c r="I355" s="18">
        <f>WEEKDAY(Table1[[#This Row],[Date]],3)</f>
        <v>6</v>
      </c>
    </row>
    <row r="356" spans="1:9" x14ac:dyDescent="0.3">
      <c r="A356" s="1">
        <v>45572</v>
      </c>
      <c r="B356" t="s">
        <v>28</v>
      </c>
      <c r="C356" t="s">
        <v>13</v>
      </c>
      <c r="D356" t="s">
        <v>21</v>
      </c>
      <c r="E356" t="s">
        <v>22</v>
      </c>
      <c r="F356">
        <v>16</v>
      </c>
      <c r="G356" s="3">
        <v>1187.05</v>
      </c>
      <c r="H356" s="4">
        <v>18992.8</v>
      </c>
      <c r="I356" s="18">
        <f>WEEKDAY(Table1[[#This Row],[Date]],3)</f>
        <v>0</v>
      </c>
    </row>
    <row r="357" spans="1:9" x14ac:dyDescent="0.3">
      <c r="A357" s="1">
        <v>45655</v>
      </c>
      <c r="B357" t="s">
        <v>28</v>
      </c>
      <c r="C357" t="s">
        <v>13</v>
      </c>
      <c r="D357" t="s">
        <v>18</v>
      </c>
      <c r="E357" t="s">
        <v>19</v>
      </c>
      <c r="F357">
        <v>8</v>
      </c>
      <c r="G357" s="3">
        <v>816.37</v>
      </c>
      <c r="H357" s="4">
        <v>6530.96</v>
      </c>
      <c r="I357" s="18">
        <f>WEEKDAY(Table1[[#This Row],[Date]],3)</f>
        <v>6</v>
      </c>
    </row>
    <row r="358" spans="1:9" x14ac:dyDescent="0.3">
      <c r="A358" s="1">
        <v>45611</v>
      </c>
      <c r="B358" t="s">
        <v>12</v>
      </c>
      <c r="C358" t="s">
        <v>24</v>
      </c>
      <c r="D358" t="s">
        <v>10</v>
      </c>
      <c r="E358" t="s">
        <v>26</v>
      </c>
      <c r="F358">
        <v>10</v>
      </c>
      <c r="G358" s="3">
        <v>1030.8699999999999</v>
      </c>
      <c r="H358" s="4">
        <v>10308.700000000001</v>
      </c>
      <c r="I358" s="18">
        <f>WEEKDAY(Table1[[#This Row],[Date]],3)</f>
        <v>4</v>
      </c>
    </row>
    <row r="359" spans="1:9" x14ac:dyDescent="0.3">
      <c r="A359" s="1">
        <v>45593</v>
      </c>
      <c r="B359" t="s">
        <v>23</v>
      </c>
      <c r="C359" t="s">
        <v>13</v>
      </c>
      <c r="D359" t="s">
        <v>10</v>
      </c>
      <c r="E359" t="s">
        <v>22</v>
      </c>
      <c r="F359">
        <v>9</v>
      </c>
      <c r="G359" s="3">
        <v>1387.73</v>
      </c>
      <c r="H359" s="4">
        <v>12489.57</v>
      </c>
      <c r="I359" s="18">
        <f>WEEKDAY(Table1[[#This Row],[Date]],3)</f>
        <v>0</v>
      </c>
    </row>
    <row r="360" spans="1:9" x14ac:dyDescent="0.3">
      <c r="A360" s="1">
        <v>45377</v>
      </c>
      <c r="B360" t="s">
        <v>12</v>
      </c>
      <c r="C360" t="s">
        <v>24</v>
      </c>
      <c r="D360" t="s">
        <v>15</v>
      </c>
      <c r="E360" t="s">
        <v>19</v>
      </c>
      <c r="F360">
        <v>17</v>
      </c>
      <c r="G360" s="3">
        <v>635.96</v>
      </c>
      <c r="H360" s="4">
        <v>10811.32</v>
      </c>
      <c r="I360" s="18">
        <f>WEEKDAY(Table1[[#This Row],[Date]],3)</f>
        <v>1</v>
      </c>
    </row>
    <row r="361" spans="1:9" x14ac:dyDescent="0.3">
      <c r="A361" s="1">
        <v>45412</v>
      </c>
      <c r="B361" t="s">
        <v>17</v>
      </c>
      <c r="C361" t="s">
        <v>9</v>
      </c>
      <c r="D361" t="s">
        <v>18</v>
      </c>
      <c r="E361" t="s">
        <v>19</v>
      </c>
      <c r="F361">
        <v>11</v>
      </c>
      <c r="G361" s="3">
        <v>2884.4</v>
      </c>
      <c r="H361" s="4">
        <v>31728.400000000001</v>
      </c>
      <c r="I361" s="18">
        <f>WEEKDAY(Table1[[#This Row],[Date]],3)</f>
        <v>1</v>
      </c>
    </row>
    <row r="362" spans="1:9" x14ac:dyDescent="0.3">
      <c r="A362" s="1">
        <v>45514</v>
      </c>
      <c r="B362" t="s">
        <v>23</v>
      </c>
      <c r="C362" t="s">
        <v>24</v>
      </c>
      <c r="D362" t="s">
        <v>21</v>
      </c>
      <c r="E362" t="s">
        <v>11</v>
      </c>
      <c r="F362">
        <v>5</v>
      </c>
      <c r="G362" s="3">
        <v>1162.24</v>
      </c>
      <c r="H362" s="4">
        <v>5811.2</v>
      </c>
      <c r="I362" s="18">
        <f>WEEKDAY(Table1[[#This Row],[Date]],3)</f>
        <v>5</v>
      </c>
    </row>
    <row r="363" spans="1:9" x14ac:dyDescent="0.3">
      <c r="A363" s="1">
        <v>45402</v>
      </c>
      <c r="B363" t="s">
        <v>8</v>
      </c>
      <c r="C363" t="s">
        <v>24</v>
      </c>
      <c r="D363" t="s">
        <v>21</v>
      </c>
      <c r="E363" t="s">
        <v>11</v>
      </c>
      <c r="F363">
        <v>5</v>
      </c>
      <c r="G363" s="3">
        <v>1317.39</v>
      </c>
      <c r="H363" s="4">
        <v>6586.95</v>
      </c>
      <c r="I363" s="18">
        <f>WEEKDAY(Table1[[#This Row],[Date]],3)</f>
        <v>5</v>
      </c>
    </row>
    <row r="364" spans="1:9" x14ac:dyDescent="0.3">
      <c r="A364" s="1">
        <v>45601</v>
      </c>
      <c r="B364" t="s">
        <v>14</v>
      </c>
      <c r="C364" t="s">
        <v>13</v>
      </c>
      <c r="D364" t="s">
        <v>18</v>
      </c>
      <c r="E364" t="s">
        <v>22</v>
      </c>
      <c r="F364">
        <v>6</v>
      </c>
      <c r="G364" s="3">
        <v>480.08</v>
      </c>
      <c r="H364" s="4">
        <v>2880.48</v>
      </c>
      <c r="I364" s="18">
        <f>WEEKDAY(Table1[[#This Row],[Date]],3)</f>
        <v>1</v>
      </c>
    </row>
    <row r="365" spans="1:9" x14ac:dyDescent="0.3">
      <c r="A365" s="1">
        <v>45479</v>
      </c>
      <c r="B365" t="s">
        <v>20</v>
      </c>
      <c r="C365" t="s">
        <v>9</v>
      </c>
      <c r="D365" t="s">
        <v>21</v>
      </c>
      <c r="E365" t="s">
        <v>26</v>
      </c>
      <c r="F365">
        <v>7</v>
      </c>
      <c r="G365" s="3">
        <v>4942.92</v>
      </c>
      <c r="H365" s="4">
        <v>34600.44</v>
      </c>
      <c r="I365" s="18">
        <f>WEEKDAY(Table1[[#This Row],[Date]],3)</f>
        <v>5</v>
      </c>
    </row>
    <row r="366" spans="1:9" x14ac:dyDescent="0.3">
      <c r="A366" s="1">
        <v>45305</v>
      </c>
      <c r="B366" t="s">
        <v>27</v>
      </c>
      <c r="C366" t="s">
        <v>9</v>
      </c>
      <c r="D366" t="s">
        <v>21</v>
      </c>
      <c r="E366" t="s">
        <v>22</v>
      </c>
      <c r="F366">
        <v>4</v>
      </c>
      <c r="G366" s="3">
        <v>585.35</v>
      </c>
      <c r="H366" s="4">
        <v>2341.4</v>
      </c>
      <c r="I366" s="18">
        <f>WEEKDAY(Table1[[#This Row],[Date]],3)</f>
        <v>6</v>
      </c>
    </row>
    <row r="367" spans="1:9" x14ac:dyDescent="0.3">
      <c r="A367" s="1">
        <v>45315</v>
      </c>
      <c r="B367" t="s">
        <v>17</v>
      </c>
      <c r="C367" t="s">
        <v>24</v>
      </c>
      <c r="D367" t="s">
        <v>15</v>
      </c>
      <c r="E367" t="s">
        <v>11</v>
      </c>
      <c r="F367">
        <v>19</v>
      </c>
      <c r="G367" s="3">
        <v>2497.38</v>
      </c>
      <c r="H367" s="4">
        <v>47450.22</v>
      </c>
      <c r="I367" s="18">
        <f>WEEKDAY(Table1[[#This Row],[Date]],3)</f>
        <v>2</v>
      </c>
    </row>
    <row r="368" spans="1:9" x14ac:dyDescent="0.3">
      <c r="A368" s="1">
        <v>45502</v>
      </c>
      <c r="B368" t="s">
        <v>29</v>
      </c>
      <c r="C368" t="s">
        <v>9</v>
      </c>
      <c r="D368" t="s">
        <v>21</v>
      </c>
      <c r="E368" t="s">
        <v>22</v>
      </c>
      <c r="F368">
        <v>6</v>
      </c>
      <c r="G368" s="3">
        <v>2890.67</v>
      </c>
      <c r="H368" s="4">
        <v>17344.02</v>
      </c>
      <c r="I368" s="18">
        <f>WEEKDAY(Table1[[#This Row],[Date]],3)</f>
        <v>0</v>
      </c>
    </row>
    <row r="369" spans="1:9" x14ac:dyDescent="0.3">
      <c r="A369" s="1">
        <v>45647</v>
      </c>
      <c r="B369" t="s">
        <v>27</v>
      </c>
      <c r="C369" t="s">
        <v>9</v>
      </c>
      <c r="D369" t="s">
        <v>21</v>
      </c>
      <c r="E369" t="s">
        <v>26</v>
      </c>
      <c r="F369">
        <v>1</v>
      </c>
      <c r="G369" s="3">
        <v>602.53</v>
      </c>
      <c r="H369" s="4">
        <v>602.53</v>
      </c>
      <c r="I369" s="18">
        <f>WEEKDAY(Table1[[#This Row],[Date]],3)</f>
        <v>5</v>
      </c>
    </row>
    <row r="370" spans="1:9" x14ac:dyDescent="0.3">
      <c r="A370" s="1">
        <v>45407</v>
      </c>
      <c r="B370" t="s">
        <v>25</v>
      </c>
      <c r="C370" t="s">
        <v>13</v>
      </c>
      <c r="D370" t="s">
        <v>21</v>
      </c>
      <c r="E370" t="s">
        <v>11</v>
      </c>
      <c r="F370">
        <v>15</v>
      </c>
      <c r="G370" s="3">
        <v>19485.13</v>
      </c>
      <c r="H370" s="4">
        <v>292276.95</v>
      </c>
      <c r="I370" s="18">
        <f>WEEKDAY(Table1[[#This Row],[Date]],3)</f>
        <v>3</v>
      </c>
    </row>
    <row r="371" spans="1:9" x14ac:dyDescent="0.3">
      <c r="A371" s="1">
        <v>45409</v>
      </c>
      <c r="B371" t="s">
        <v>25</v>
      </c>
      <c r="C371" t="s">
        <v>9</v>
      </c>
      <c r="D371" t="s">
        <v>15</v>
      </c>
      <c r="E371" t="s">
        <v>19</v>
      </c>
      <c r="F371">
        <v>16</v>
      </c>
      <c r="G371" s="3">
        <v>12104.27</v>
      </c>
      <c r="H371" s="4">
        <v>193668.32</v>
      </c>
      <c r="I371" s="18">
        <f>WEEKDAY(Table1[[#This Row],[Date]],3)</f>
        <v>5</v>
      </c>
    </row>
    <row r="372" spans="1:9" x14ac:dyDescent="0.3">
      <c r="A372" s="1">
        <v>45489</v>
      </c>
      <c r="B372" t="s">
        <v>23</v>
      </c>
      <c r="C372" t="s">
        <v>9</v>
      </c>
      <c r="D372" t="s">
        <v>15</v>
      </c>
      <c r="E372" t="s">
        <v>16</v>
      </c>
      <c r="F372">
        <v>10</v>
      </c>
      <c r="G372" s="3">
        <v>1351.06</v>
      </c>
      <c r="H372" s="4">
        <v>13510.6</v>
      </c>
      <c r="I372" s="18">
        <f>WEEKDAY(Table1[[#This Row],[Date]],3)</f>
        <v>1</v>
      </c>
    </row>
    <row r="373" spans="1:9" x14ac:dyDescent="0.3">
      <c r="A373" s="1">
        <v>45398</v>
      </c>
      <c r="B373" t="s">
        <v>25</v>
      </c>
      <c r="C373" t="s">
        <v>24</v>
      </c>
      <c r="D373" t="s">
        <v>15</v>
      </c>
      <c r="E373" t="s">
        <v>16</v>
      </c>
      <c r="F373">
        <v>6</v>
      </c>
      <c r="G373" s="3">
        <v>15162.71</v>
      </c>
      <c r="H373" s="4">
        <v>90976.26</v>
      </c>
      <c r="I373" s="18">
        <f>WEEKDAY(Table1[[#This Row],[Date]],3)</f>
        <v>1</v>
      </c>
    </row>
    <row r="374" spans="1:9" x14ac:dyDescent="0.3">
      <c r="A374" s="1">
        <v>45656</v>
      </c>
      <c r="B374" t="s">
        <v>27</v>
      </c>
      <c r="C374" t="s">
        <v>9</v>
      </c>
      <c r="D374" t="s">
        <v>10</v>
      </c>
      <c r="E374" t="s">
        <v>22</v>
      </c>
      <c r="F374">
        <v>3</v>
      </c>
      <c r="G374" s="3">
        <v>766.24</v>
      </c>
      <c r="H374" s="4">
        <v>2298.7199999999998</v>
      </c>
      <c r="I374" s="18">
        <f>WEEKDAY(Table1[[#This Row],[Date]],3)</f>
        <v>0</v>
      </c>
    </row>
    <row r="375" spans="1:9" x14ac:dyDescent="0.3">
      <c r="A375" s="1">
        <v>45360</v>
      </c>
      <c r="B375" t="s">
        <v>28</v>
      </c>
      <c r="C375" t="s">
        <v>9</v>
      </c>
      <c r="D375" t="s">
        <v>18</v>
      </c>
      <c r="E375" t="s">
        <v>22</v>
      </c>
      <c r="F375">
        <v>5</v>
      </c>
      <c r="G375" s="3">
        <v>1123.6099999999999</v>
      </c>
      <c r="H375" s="4">
        <v>5618.05</v>
      </c>
      <c r="I375" s="18">
        <f>WEEKDAY(Table1[[#This Row],[Date]],3)</f>
        <v>5</v>
      </c>
    </row>
    <row r="376" spans="1:9" x14ac:dyDescent="0.3">
      <c r="A376" s="1">
        <v>45381</v>
      </c>
      <c r="B376" t="s">
        <v>8</v>
      </c>
      <c r="C376" t="s">
        <v>24</v>
      </c>
      <c r="D376" t="s">
        <v>10</v>
      </c>
      <c r="E376" t="s">
        <v>22</v>
      </c>
      <c r="F376">
        <v>3</v>
      </c>
      <c r="G376" s="3">
        <v>1154.53</v>
      </c>
      <c r="H376" s="4">
        <v>3463.59</v>
      </c>
      <c r="I376" s="18">
        <f>WEEKDAY(Table1[[#This Row],[Date]],3)</f>
        <v>5</v>
      </c>
    </row>
    <row r="377" spans="1:9" x14ac:dyDescent="0.3">
      <c r="A377" s="1">
        <v>45604</v>
      </c>
      <c r="B377" t="s">
        <v>8</v>
      </c>
      <c r="C377" t="s">
        <v>24</v>
      </c>
      <c r="D377" t="s">
        <v>18</v>
      </c>
      <c r="E377" t="s">
        <v>19</v>
      </c>
      <c r="F377">
        <v>12</v>
      </c>
      <c r="G377" s="3">
        <v>937.45</v>
      </c>
      <c r="H377" s="4">
        <v>11249.4</v>
      </c>
      <c r="I377" s="18">
        <f>WEEKDAY(Table1[[#This Row],[Date]],3)</f>
        <v>4</v>
      </c>
    </row>
    <row r="378" spans="1:9" x14ac:dyDescent="0.3">
      <c r="A378" s="1">
        <v>45322</v>
      </c>
      <c r="B378" t="s">
        <v>8</v>
      </c>
      <c r="C378" t="s">
        <v>9</v>
      </c>
      <c r="D378" t="s">
        <v>21</v>
      </c>
      <c r="E378" t="s">
        <v>16</v>
      </c>
      <c r="F378">
        <v>12</v>
      </c>
      <c r="G378" s="3">
        <v>872.11</v>
      </c>
      <c r="H378" s="4">
        <v>10465.32</v>
      </c>
      <c r="I378" s="18">
        <f>WEEKDAY(Table1[[#This Row],[Date]],3)</f>
        <v>2</v>
      </c>
    </row>
    <row r="379" spans="1:9" x14ac:dyDescent="0.3">
      <c r="A379" s="1">
        <v>45633</v>
      </c>
      <c r="B379" t="s">
        <v>23</v>
      </c>
      <c r="C379" t="s">
        <v>13</v>
      </c>
      <c r="D379" t="s">
        <v>10</v>
      </c>
      <c r="E379" t="s">
        <v>19</v>
      </c>
      <c r="F379">
        <v>14</v>
      </c>
      <c r="G379" s="3">
        <v>1274.5899999999999</v>
      </c>
      <c r="H379" s="4">
        <v>17844.259999999998</v>
      </c>
      <c r="I379" s="18">
        <f>WEEKDAY(Table1[[#This Row],[Date]],3)</f>
        <v>5</v>
      </c>
    </row>
    <row r="380" spans="1:9" x14ac:dyDescent="0.3">
      <c r="A380" s="1">
        <v>45627</v>
      </c>
      <c r="B380" t="s">
        <v>29</v>
      </c>
      <c r="C380" t="s">
        <v>13</v>
      </c>
      <c r="D380" t="s">
        <v>15</v>
      </c>
      <c r="E380" t="s">
        <v>26</v>
      </c>
      <c r="F380">
        <v>13</v>
      </c>
      <c r="G380" s="3">
        <v>3013.09</v>
      </c>
      <c r="H380" s="4">
        <v>39170.17</v>
      </c>
      <c r="I380" s="18">
        <f>WEEKDAY(Table1[[#This Row],[Date]],3)</f>
        <v>6</v>
      </c>
    </row>
    <row r="381" spans="1:9" x14ac:dyDescent="0.3">
      <c r="A381" s="1">
        <v>45620</v>
      </c>
      <c r="B381" t="s">
        <v>8</v>
      </c>
      <c r="C381" t="s">
        <v>13</v>
      </c>
      <c r="D381" t="s">
        <v>21</v>
      </c>
      <c r="E381" t="s">
        <v>22</v>
      </c>
      <c r="F381">
        <v>11</v>
      </c>
      <c r="G381" s="3">
        <v>940.26</v>
      </c>
      <c r="H381" s="4">
        <v>10342.86</v>
      </c>
      <c r="I381" s="18">
        <f>WEEKDAY(Table1[[#This Row],[Date]],3)</f>
        <v>6</v>
      </c>
    </row>
    <row r="382" spans="1:9" x14ac:dyDescent="0.3">
      <c r="A382" s="1">
        <v>45487</v>
      </c>
      <c r="B382" t="s">
        <v>17</v>
      </c>
      <c r="C382" t="s">
        <v>9</v>
      </c>
      <c r="D382" t="s">
        <v>10</v>
      </c>
      <c r="E382" t="s">
        <v>22</v>
      </c>
      <c r="F382">
        <v>11</v>
      </c>
      <c r="G382" s="3">
        <v>3195.09</v>
      </c>
      <c r="H382" s="4">
        <v>35145.99</v>
      </c>
      <c r="I382" s="18">
        <f>WEEKDAY(Table1[[#This Row],[Date]],3)</f>
        <v>6</v>
      </c>
    </row>
    <row r="383" spans="1:9" x14ac:dyDescent="0.3">
      <c r="A383" s="1">
        <v>45434</v>
      </c>
      <c r="B383" t="s">
        <v>23</v>
      </c>
      <c r="C383" t="s">
        <v>9</v>
      </c>
      <c r="D383" t="s">
        <v>15</v>
      </c>
      <c r="E383" t="s">
        <v>22</v>
      </c>
      <c r="F383">
        <v>12</v>
      </c>
      <c r="G383" s="3">
        <v>1758.94</v>
      </c>
      <c r="H383" s="4">
        <v>21107.279999999999</v>
      </c>
      <c r="I383" s="18">
        <f>WEEKDAY(Table1[[#This Row],[Date]],3)</f>
        <v>2</v>
      </c>
    </row>
    <row r="384" spans="1:9" x14ac:dyDescent="0.3">
      <c r="A384" s="1">
        <v>45433</v>
      </c>
      <c r="B384" t="s">
        <v>20</v>
      </c>
      <c r="C384" t="s">
        <v>9</v>
      </c>
      <c r="D384" t="s">
        <v>15</v>
      </c>
      <c r="E384" t="s">
        <v>16</v>
      </c>
      <c r="F384">
        <v>18</v>
      </c>
      <c r="G384" s="3">
        <v>3934.9</v>
      </c>
      <c r="H384" s="4">
        <v>70828.2</v>
      </c>
      <c r="I384" s="18">
        <f>WEEKDAY(Table1[[#This Row],[Date]],3)</f>
        <v>1</v>
      </c>
    </row>
    <row r="385" spans="1:9" x14ac:dyDescent="0.3">
      <c r="A385" s="1">
        <v>45378</v>
      </c>
      <c r="B385" t="s">
        <v>12</v>
      </c>
      <c r="C385" t="s">
        <v>9</v>
      </c>
      <c r="D385" t="s">
        <v>21</v>
      </c>
      <c r="E385" t="s">
        <v>26</v>
      </c>
      <c r="F385">
        <v>19</v>
      </c>
      <c r="G385" s="3">
        <v>796.7</v>
      </c>
      <c r="H385" s="4">
        <v>15137.3</v>
      </c>
      <c r="I385" s="18">
        <f>WEEKDAY(Table1[[#This Row],[Date]],3)</f>
        <v>2</v>
      </c>
    </row>
    <row r="386" spans="1:9" x14ac:dyDescent="0.3">
      <c r="A386" s="1">
        <v>45632</v>
      </c>
      <c r="B386" t="s">
        <v>20</v>
      </c>
      <c r="C386" t="s">
        <v>9</v>
      </c>
      <c r="D386" t="s">
        <v>18</v>
      </c>
      <c r="E386" t="s">
        <v>26</v>
      </c>
      <c r="F386">
        <v>18</v>
      </c>
      <c r="G386" s="3">
        <v>5660.02</v>
      </c>
      <c r="H386" s="4">
        <v>101880.36</v>
      </c>
      <c r="I386" s="18">
        <f>WEEKDAY(Table1[[#This Row],[Date]],3)</f>
        <v>4</v>
      </c>
    </row>
    <row r="387" spans="1:9" x14ac:dyDescent="0.3">
      <c r="A387" s="1">
        <v>45618</v>
      </c>
      <c r="B387" t="s">
        <v>29</v>
      </c>
      <c r="C387" t="s">
        <v>13</v>
      </c>
      <c r="D387" t="s">
        <v>18</v>
      </c>
      <c r="E387" t="s">
        <v>26</v>
      </c>
      <c r="F387">
        <v>2</v>
      </c>
      <c r="G387" s="3">
        <v>3298.35</v>
      </c>
      <c r="H387" s="4">
        <v>6596.7</v>
      </c>
      <c r="I387" s="18">
        <f>WEEKDAY(Table1[[#This Row],[Date]],3)</f>
        <v>4</v>
      </c>
    </row>
    <row r="388" spans="1:9" x14ac:dyDescent="0.3">
      <c r="A388" s="1">
        <v>45334</v>
      </c>
      <c r="B388" t="s">
        <v>20</v>
      </c>
      <c r="C388" t="s">
        <v>13</v>
      </c>
      <c r="D388" t="s">
        <v>15</v>
      </c>
      <c r="E388" t="s">
        <v>26</v>
      </c>
      <c r="F388">
        <v>17</v>
      </c>
      <c r="G388" s="3">
        <v>5338.7</v>
      </c>
      <c r="H388" s="4">
        <v>90757.9</v>
      </c>
      <c r="I388" s="18">
        <f>WEEKDAY(Table1[[#This Row],[Date]],3)</f>
        <v>0</v>
      </c>
    </row>
    <row r="389" spans="1:9" x14ac:dyDescent="0.3">
      <c r="A389" s="1">
        <v>45489</v>
      </c>
      <c r="B389" t="s">
        <v>17</v>
      </c>
      <c r="C389" t="s">
        <v>9</v>
      </c>
      <c r="D389" t="s">
        <v>15</v>
      </c>
      <c r="E389" t="s">
        <v>16</v>
      </c>
      <c r="F389">
        <v>5</v>
      </c>
      <c r="G389" s="3">
        <v>3168.55</v>
      </c>
      <c r="H389" s="4">
        <v>15842.75</v>
      </c>
      <c r="I389" s="18">
        <f>WEEKDAY(Table1[[#This Row],[Date]],3)</f>
        <v>1</v>
      </c>
    </row>
    <row r="390" spans="1:9" x14ac:dyDescent="0.3">
      <c r="A390" s="1">
        <v>45403</v>
      </c>
      <c r="B390" t="s">
        <v>20</v>
      </c>
      <c r="C390" t="s">
        <v>24</v>
      </c>
      <c r="D390" t="s">
        <v>15</v>
      </c>
      <c r="E390" t="s">
        <v>22</v>
      </c>
      <c r="F390">
        <v>16</v>
      </c>
      <c r="G390" s="3">
        <v>4735.3</v>
      </c>
      <c r="H390" s="4">
        <v>75764.800000000003</v>
      </c>
      <c r="I390" s="18">
        <f>WEEKDAY(Table1[[#This Row],[Date]],3)</f>
        <v>6</v>
      </c>
    </row>
    <row r="391" spans="1:9" x14ac:dyDescent="0.3">
      <c r="A391" s="1">
        <v>45416</v>
      </c>
      <c r="B391" t="s">
        <v>23</v>
      </c>
      <c r="C391" t="s">
        <v>24</v>
      </c>
      <c r="D391" t="s">
        <v>21</v>
      </c>
      <c r="E391" t="s">
        <v>19</v>
      </c>
      <c r="F391">
        <v>10</v>
      </c>
      <c r="G391" s="3">
        <v>1930.26</v>
      </c>
      <c r="H391" s="4">
        <v>19302.599999999999</v>
      </c>
      <c r="I391" s="18">
        <f>WEEKDAY(Table1[[#This Row],[Date]],3)</f>
        <v>5</v>
      </c>
    </row>
    <row r="392" spans="1:9" x14ac:dyDescent="0.3">
      <c r="A392" s="1">
        <v>45534</v>
      </c>
      <c r="B392" t="s">
        <v>25</v>
      </c>
      <c r="C392" t="s">
        <v>13</v>
      </c>
      <c r="D392" t="s">
        <v>18</v>
      </c>
      <c r="E392" t="s">
        <v>19</v>
      </c>
      <c r="F392">
        <v>4</v>
      </c>
      <c r="G392" s="3">
        <v>17310.759999999998</v>
      </c>
      <c r="H392" s="4">
        <v>69243.039999999994</v>
      </c>
      <c r="I392" s="18">
        <f>WEEKDAY(Table1[[#This Row],[Date]],3)</f>
        <v>4</v>
      </c>
    </row>
    <row r="393" spans="1:9" x14ac:dyDescent="0.3">
      <c r="A393" s="1">
        <v>45505</v>
      </c>
      <c r="B393" t="s">
        <v>14</v>
      </c>
      <c r="C393" t="s">
        <v>9</v>
      </c>
      <c r="D393" t="s">
        <v>10</v>
      </c>
      <c r="E393" t="s">
        <v>19</v>
      </c>
      <c r="F393">
        <v>14</v>
      </c>
      <c r="G393" s="3">
        <v>505.97</v>
      </c>
      <c r="H393" s="4">
        <v>7083.58</v>
      </c>
      <c r="I393" s="18">
        <f>WEEKDAY(Table1[[#This Row],[Date]],3)</f>
        <v>3</v>
      </c>
    </row>
    <row r="394" spans="1:9" x14ac:dyDescent="0.3">
      <c r="A394" s="1">
        <v>45459</v>
      </c>
      <c r="B394" t="s">
        <v>12</v>
      </c>
      <c r="C394" t="s">
        <v>24</v>
      </c>
      <c r="D394" t="s">
        <v>18</v>
      </c>
      <c r="E394" t="s">
        <v>22</v>
      </c>
      <c r="F394">
        <v>3</v>
      </c>
      <c r="G394" s="3">
        <v>1120.98</v>
      </c>
      <c r="H394" s="4">
        <v>3362.94</v>
      </c>
      <c r="I394" s="18">
        <f>WEEKDAY(Table1[[#This Row],[Date]],3)</f>
        <v>6</v>
      </c>
    </row>
    <row r="395" spans="1:9" x14ac:dyDescent="0.3">
      <c r="A395" s="1">
        <v>45388</v>
      </c>
      <c r="B395" t="s">
        <v>12</v>
      </c>
      <c r="C395" t="s">
        <v>13</v>
      </c>
      <c r="D395" t="s">
        <v>15</v>
      </c>
      <c r="E395" t="s">
        <v>19</v>
      </c>
      <c r="F395">
        <v>18</v>
      </c>
      <c r="G395" s="3">
        <v>680.44</v>
      </c>
      <c r="H395" s="4">
        <v>12247.92</v>
      </c>
      <c r="I395" s="18">
        <f>WEEKDAY(Table1[[#This Row],[Date]],3)</f>
        <v>5</v>
      </c>
    </row>
    <row r="396" spans="1:9" x14ac:dyDescent="0.3">
      <c r="A396" s="1">
        <v>45488</v>
      </c>
      <c r="B396" t="s">
        <v>27</v>
      </c>
      <c r="C396" t="s">
        <v>13</v>
      </c>
      <c r="D396" t="s">
        <v>21</v>
      </c>
      <c r="E396" t="s">
        <v>19</v>
      </c>
      <c r="F396">
        <v>10</v>
      </c>
      <c r="G396" s="3">
        <v>605.14</v>
      </c>
      <c r="H396" s="4">
        <v>6051.4</v>
      </c>
      <c r="I396" s="18">
        <f>WEEKDAY(Table1[[#This Row],[Date]],3)</f>
        <v>0</v>
      </c>
    </row>
    <row r="397" spans="1:9" x14ac:dyDescent="0.3">
      <c r="A397" s="1">
        <v>45588</v>
      </c>
      <c r="B397" t="s">
        <v>8</v>
      </c>
      <c r="C397" t="s">
        <v>9</v>
      </c>
      <c r="D397" t="s">
        <v>18</v>
      </c>
      <c r="E397" t="s">
        <v>26</v>
      </c>
      <c r="F397">
        <v>15</v>
      </c>
      <c r="G397" s="3">
        <v>981.01</v>
      </c>
      <c r="H397" s="4">
        <v>14715.15</v>
      </c>
      <c r="I397" s="18">
        <f>WEEKDAY(Table1[[#This Row],[Date]],3)</f>
        <v>2</v>
      </c>
    </row>
    <row r="398" spans="1:9" x14ac:dyDescent="0.3">
      <c r="A398" s="1">
        <v>45529</v>
      </c>
      <c r="B398" t="s">
        <v>14</v>
      </c>
      <c r="C398" t="s">
        <v>24</v>
      </c>
      <c r="D398" t="s">
        <v>15</v>
      </c>
      <c r="E398" t="s">
        <v>19</v>
      </c>
      <c r="F398">
        <v>6</v>
      </c>
      <c r="G398" s="3">
        <v>705.57</v>
      </c>
      <c r="H398" s="4">
        <v>4233.42</v>
      </c>
      <c r="I398" s="18">
        <f>WEEKDAY(Table1[[#This Row],[Date]],3)</f>
        <v>6</v>
      </c>
    </row>
    <row r="399" spans="1:9" x14ac:dyDescent="0.3">
      <c r="A399" s="1">
        <v>45554</v>
      </c>
      <c r="B399" t="s">
        <v>27</v>
      </c>
      <c r="C399" t="s">
        <v>9</v>
      </c>
      <c r="D399" t="s">
        <v>10</v>
      </c>
      <c r="E399" t="s">
        <v>11</v>
      </c>
      <c r="F399">
        <v>18</v>
      </c>
      <c r="G399" s="3">
        <v>641.04999999999995</v>
      </c>
      <c r="H399" s="4">
        <v>11538.9</v>
      </c>
      <c r="I399" s="18">
        <f>WEEKDAY(Table1[[#This Row],[Date]],3)</f>
        <v>3</v>
      </c>
    </row>
    <row r="400" spans="1:9" x14ac:dyDescent="0.3">
      <c r="A400" s="1">
        <v>45511</v>
      </c>
      <c r="B400" t="s">
        <v>25</v>
      </c>
      <c r="C400" t="s">
        <v>13</v>
      </c>
      <c r="D400" t="s">
        <v>21</v>
      </c>
      <c r="E400" t="s">
        <v>16</v>
      </c>
      <c r="F400">
        <v>16</v>
      </c>
      <c r="G400" s="3">
        <v>11868.94</v>
      </c>
      <c r="H400" s="4">
        <v>189903.04</v>
      </c>
      <c r="I400" s="18">
        <f>WEEKDAY(Table1[[#This Row],[Date]],3)</f>
        <v>2</v>
      </c>
    </row>
    <row r="401" spans="1:9" x14ac:dyDescent="0.3">
      <c r="A401" s="1">
        <v>45551</v>
      </c>
      <c r="B401" t="s">
        <v>29</v>
      </c>
      <c r="C401" t="s">
        <v>24</v>
      </c>
      <c r="D401" t="s">
        <v>15</v>
      </c>
      <c r="E401" t="s">
        <v>11</v>
      </c>
      <c r="F401">
        <v>9</v>
      </c>
      <c r="G401" s="3">
        <v>4137.57</v>
      </c>
      <c r="H401" s="4">
        <v>37238.129999999997</v>
      </c>
      <c r="I401" s="18">
        <f>WEEKDAY(Table1[[#This Row],[Date]],3)</f>
        <v>0</v>
      </c>
    </row>
    <row r="402" spans="1:9" x14ac:dyDescent="0.3">
      <c r="A402" s="1">
        <v>45593</v>
      </c>
      <c r="B402" t="s">
        <v>23</v>
      </c>
      <c r="C402" t="s">
        <v>9</v>
      </c>
      <c r="D402" t="s">
        <v>10</v>
      </c>
      <c r="E402" t="s">
        <v>16</v>
      </c>
      <c r="F402">
        <v>13</v>
      </c>
      <c r="G402" s="3">
        <v>1340.71</v>
      </c>
      <c r="H402" s="4">
        <v>17429.23</v>
      </c>
      <c r="I402" s="18">
        <f>WEEKDAY(Table1[[#This Row],[Date]],3)</f>
        <v>0</v>
      </c>
    </row>
    <row r="403" spans="1:9" x14ac:dyDescent="0.3">
      <c r="A403" s="1">
        <v>45393</v>
      </c>
      <c r="B403" t="s">
        <v>12</v>
      </c>
      <c r="C403" t="s">
        <v>13</v>
      </c>
      <c r="D403" t="s">
        <v>10</v>
      </c>
      <c r="E403" t="s">
        <v>11</v>
      </c>
      <c r="F403">
        <v>5</v>
      </c>
      <c r="G403" s="3">
        <v>932.27</v>
      </c>
      <c r="H403" s="4">
        <v>4661.3500000000004</v>
      </c>
      <c r="I403" s="18">
        <f>WEEKDAY(Table1[[#This Row],[Date]],3)</f>
        <v>3</v>
      </c>
    </row>
    <row r="404" spans="1:9" x14ac:dyDescent="0.3">
      <c r="A404" s="1">
        <v>45644</v>
      </c>
      <c r="B404" t="s">
        <v>8</v>
      </c>
      <c r="C404" t="s">
        <v>9</v>
      </c>
      <c r="D404" t="s">
        <v>21</v>
      </c>
      <c r="E404" t="s">
        <v>22</v>
      </c>
      <c r="F404">
        <v>5</v>
      </c>
      <c r="G404" s="3">
        <v>1540.89</v>
      </c>
      <c r="H404" s="4">
        <v>7704.45</v>
      </c>
      <c r="I404" s="18">
        <f>WEEKDAY(Table1[[#This Row],[Date]],3)</f>
        <v>2</v>
      </c>
    </row>
    <row r="405" spans="1:9" x14ac:dyDescent="0.3">
      <c r="A405" s="1">
        <v>45556</v>
      </c>
      <c r="B405" t="s">
        <v>8</v>
      </c>
      <c r="C405" t="s">
        <v>24</v>
      </c>
      <c r="D405" t="s">
        <v>15</v>
      </c>
      <c r="E405" t="s">
        <v>11</v>
      </c>
      <c r="F405">
        <v>12</v>
      </c>
      <c r="G405" s="3">
        <v>1551.41</v>
      </c>
      <c r="H405" s="4">
        <v>18616.919999999998</v>
      </c>
      <c r="I405" s="18">
        <f>WEEKDAY(Table1[[#This Row],[Date]],3)</f>
        <v>5</v>
      </c>
    </row>
    <row r="406" spans="1:9" x14ac:dyDescent="0.3">
      <c r="A406" s="1">
        <v>45655</v>
      </c>
      <c r="B406" t="s">
        <v>20</v>
      </c>
      <c r="C406" t="s">
        <v>9</v>
      </c>
      <c r="D406" t="s">
        <v>21</v>
      </c>
      <c r="E406" t="s">
        <v>22</v>
      </c>
      <c r="F406">
        <v>3</v>
      </c>
      <c r="G406" s="3">
        <v>6139.47</v>
      </c>
      <c r="H406" s="4">
        <v>18418.41</v>
      </c>
      <c r="I406" s="18">
        <f>WEEKDAY(Table1[[#This Row],[Date]],3)</f>
        <v>6</v>
      </c>
    </row>
    <row r="407" spans="1:9" x14ac:dyDescent="0.3">
      <c r="A407" s="1">
        <v>45577</v>
      </c>
      <c r="B407" t="s">
        <v>12</v>
      </c>
      <c r="C407" t="s">
        <v>9</v>
      </c>
      <c r="D407" t="s">
        <v>21</v>
      </c>
      <c r="E407" t="s">
        <v>22</v>
      </c>
      <c r="F407">
        <v>1</v>
      </c>
      <c r="G407" s="3">
        <v>759.53</v>
      </c>
      <c r="H407" s="4">
        <v>759.53</v>
      </c>
      <c r="I407" s="18">
        <f>WEEKDAY(Table1[[#This Row],[Date]],3)</f>
        <v>5</v>
      </c>
    </row>
    <row r="408" spans="1:9" x14ac:dyDescent="0.3">
      <c r="A408" s="1">
        <v>45471</v>
      </c>
      <c r="B408" t="s">
        <v>17</v>
      </c>
      <c r="C408" t="s">
        <v>9</v>
      </c>
      <c r="D408" t="s">
        <v>10</v>
      </c>
      <c r="E408" t="s">
        <v>22</v>
      </c>
      <c r="F408">
        <v>11</v>
      </c>
      <c r="G408" s="3">
        <v>2726.72</v>
      </c>
      <c r="H408" s="4">
        <v>29993.919999999998</v>
      </c>
      <c r="I408" s="18">
        <f>WEEKDAY(Table1[[#This Row],[Date]],3)</f>
        <v>4</v>
      </c>
    </row>
    <row r="409" spans="1:9" x14ac:dyDescent="0.3">
      <c r="A409" s="1">
        <v>45467</v>
      </c>
      <c r="B409" t="s">
        <v>29</v>
      </c>
      <c r="C409" t="s">
        <v>9</v>
      </c>
      <c r="D409" t="s">
        <v>18</v>
      </c>
      <c r="E409" t="s">
        <v>19</v>
      </c>
      <c r="F409">
        <v>11</v>
      </c>
      <c r="G409" s="3">
        <v>4221.8500000000004</v>
      </c>
      <c r="H409" s="4">
        <v>46440.35</v>
      </c>
      <c r="I409" s="18">
        <f>WEEKDAY(Table1[[#This Row],[Date]],3)</f>
        <v>0</v>
      </c>
    </row>
    <row r="410" spans="1:9" x14ac:dyDescent="0.3">
      <c r="A410" s="1">
        <v>45638</v>
      </c>
      <c r="B410" t="s">
        <v>27</v>
      </c>
      <c r="C410" t="s">
        <v>9</v>
      </c>
      <c r="D410" t="s">
        <v>21</v>
      </c>
      <c r="E410" t="s">
        <v>16</v>
      </c>
      <c r="F410">
        <v>16</v>
      </c>
      <c r="G410" s="3">
        <v>611.04</v>
      </c>
      <c r="H410" s="4">
        <v>9776.64</v>
      </c>
      <c r="I410" s="18">
        <f>WEEKDAY(Table1[[#This Row],[Date]],3)</f>
        <v>3</v>
      </c>
    </row>
    <row r="411" spans="1:9" x14ac:dyDescent="0.3">
      <c r="A411" s="1">
        <v>45539</v>
      </c>
      <c r="B411" t="s">
        <v>23</v>
      </c>
      <c r="C411" t="s">
        <v>24</v>
      </c>
      <c r="D411" t="s">
        <v>18</v>
      </c>
      <c r="E411" t="s">
        <v>19</v>
      </c>
      <c r="F411">
        <v>1</v>
      </c>
      <c r="G411" s="3">
        <v>1803.34</v>
      </c>
      <c r="H411" s="4">
        <v>1803.34</v>
      </c>
      <c r="I411" s="18">
        <f>WEEKDAY(Table1[[#This Row],[Date]],3)</f>
        <v>2</v>
      </c>
    </row>
    <row r="412" spans="1:9" x14ac:dyDescent="0.3">
      <c r="A412" s="1">
        <v>45634</v>
      </c>
      <c r="B412" t="s">
        <v>27</v>
      </c>
      <c r="C412" t="s">
        <v>24</v>
      </c>
      <c r="D412" t="s">
        <v>18</v>
      </c>
      <c r="E412" t="s">
        <v>16</v>
      </c>
      <c r="F412">
        <v>3</v>
      </c>
      <c r="G412" s="3">
        <v>926.31</v>
      </c>
      <c r="H412" s="4">
        <v>2778.93</v>
      </c>
      <c r="I412" s="18">
        <f>WEEKDAY(Table1[[#This Row],[Date]],3)</f>
        <v>6</v>
      </c>
    </row>
    <row r="413" spans="1:9" x14ac:dyDescent="0.3">
      <c r="A413" s="1">
        <v>45593</v>
      </c>
      <c r="B413" t="s">
        <v>8</v>
      </c>
      <c r="C413" t="s">
        <v>24</v>
      </c>
      <c r="D413" t="s">
        <v>21</v>
      </c>
      <c r="E413" t="s">
        <v>19</v>
      </c>
      <c r="F413">
        <v>17</v>
      </c>
      <c r="G413" s="3">
        <v>1391.57</v>
      </c>
      <c r="H413" s="4">
        <v>23656.69</v>
      </c>
      <c r="I413" s="18">
        <f>WEEKDAY(Table1[[#This Row],[Date]],3)</f>
        <v>0</v>
      </c>
    </row>
    <row r="414" spans="1:9" x14ac:dyDescent="0.3">
      <c r="A414" s="1">
        <v>45646</v>
      </c>
      <c r="B414" t="s">
        <v>17</v>
      </c>
      <c r="C414" t="s">
        <v>13</v>
      </c>
      <c r="D414" t="s">
        <v>18</v>
      </c>
      <c r="E414" t="s">
        <v>11</v>
      </c>
      <c r="F414">
        <v>2</v>
      </c>
      <c r="G414" s="3">
        <v>2420.58</v>
      </c>
      <c r="H414" s="4">
        <v>4841.16</v>
      </c>
      <c r="I414" s="18">
        <f>WEEKDAY(Table1[[#This Row],[Date]],3)</f>
        <v>4</v>
      </c>
    </row>
    <row r="415" spans="1:9" x14ac:dyDescent="0.3">
      <c r="A415" s="1">
        <v>45329</v>
      </c>
      <c r="B415" t="s">
        <v>8</v>
      </c>
      <c r="C415" t="s">
        <v>9</v>
      </c>
      <c r="D415" t="s">
        <v>21</v>
      </c>
      <c r="E415" t="s">
        <v>11</v>
      </c>
      <c r="F415">
        <v>19</v>
      </c>
      <c r="G415" s="3">
        <v>1543.3</v>
      </c>
      <c r="H415" s="4">
        <v>29322.7</v>
      </c>
      <c r="I415" s="18">
        <f>WEEKDAY(Table1[[#This Row],[Date]],3)</f>
        <v>2</v>
      </c>
    </row>
    <row r="416" spans="1:9" x14ac:dyDescent="0.3">
      <c r="A416" s="1">
        <v>45625</v>
      </c>
      <c r="B416" t="s">
        <v>8</v>
      </c>
      <c r="C416" t="s">
        <v>9</v>
      </c>
      <c r="D416" t="s">
        <v>18</v>
      </c>
      <c r="E416" t="s">
        <v>22</v>
      </c>
      <c r="F416">
        <v>6</v>
      </c>
      <c r="G416" s="3">
        <v>1041.6300000000001</v>
      </c>
      <c r="H416" s="4">
        <v>6249.78</v>
      </c>
      <c r="I416" s="18">
        <f>WEEKDAY(Table1[[#This Row],[Date]],3)</f>
        <v>4</v>
      </c>
    </row>
    <row r="417" spans="1:9" x14ac:dyDescent="0.3">
      <c r="A417" s="1">
        <v>45374</v>
      </c>
      <c r="B417" t="s">
        <v>27</v>
      </c>
      <c r="C417" t="s">
        <v>13</v>
      </c>
      <c r="D417" t="s">
        <v>15</v>
      </c>
      <c r="E417" t="s">
        <v>11</v>
      </c>
      <c r="F417">
        <v>9</v>
      </c>
      <c r="G417" s="3">
        <v>962.94</v>
      </c>
      <c r="H417" s="4">
        <v>8666.4599999999991</v>
      </c>
      <c r="I417" s="18">
        <f>WEEKDAY(Table1[[#This Row],[Date]],3)</f>
        <v>5</v>
      </c>
    </row>
    <row r="418" spans="1:9" x14ac:dyDescent="0.3">
      <c r="A418" s="1">
        <v>45464</v>
      </c>
      <c r="B418" t="s">
        <v>23</v>
      </c>
      <c r="C418" t="s">
        <v>24</v>
      </c>
      <c r="D418" t="s">
        <v>10</v>
      </c>
      <c r="E418" t="s">
        <v>26</v>
      </c>
      <c r="F418">
        <v>19</v>
      </c>
      <c r="G418" s="3">
        <v>1835.48</v>
      </c>
      <c r="H418" s="4">
        <v>34874.120000000003</v>
      </c>
      <c r="I418" s="18">
        <f>WEEKDAY(Table1[[#This Row],[Date]],3)</f>
        <v>4</v>
      </c>
    </row>
    <row r="419" spans="1:9" x14ac:dyDescent="0.3">
      <c r="A419" s="1">
        <v>45411</v>
      </c>
      <c r="B419" t="s">
        <v>29</v>
      </c>
      <c r="C419" t="s">
        <v>9</v>
      </c>
      <c r="D419" t="s">
        <v>18</v>
      </c>
      <c r="E419" t="s">
        <v>19</v>
      </c>
      <c r="F419">
        <v>8</v>
      </c>
      <c r="G419" s="3">
        <v>3002.96</v>
      </c>
      <c r="H419" s="4">
        <v>24023.68</v>
      </c>
      <c r="I419" s="18">
        <f>WEEKDAY(Table1[[#This Row],[Date]],3)</f>
        <v>0</v>
      </c>
    </row>
    <row r="420" spans="1:9" x14ac:dyDescent="0.3">
      <c r="A420" s="1">
        <v>45556</v>
      </c>
      <c r="B420" t="s">
        <v>25</v>
      </c>
      <c r="C420" t="s">
        <v>9</v>
      </c>
      <c r="D420" t="s">
        <v>15</v>
      </c>
      <c r="E420" t="s">
        <v>11</v>
      </c>
      <c r="F420">
        <v>3</v>
      </c>
      <c r="G420" s="3">
        <v>12537.16</v>
      </c>
      <c r="H420" s="4">
        <v>37611.480000000003</v>
      </c>
      <c r="I420" s="18">
        <f>WEEKDAY(Table1[[#This Row],[Date]],3)</f>
        <v>5</v>
      </c>
    </row>
    <row r="421" spans="1:9" x14ac:dyDescent="0.3">
      <c r="A421" s="1">
        <v>45625</v>
      </c>
      <c r="B421" t="s">
        <v>20</v>
      </c>
      <c r="C421" t="s">
        <v>13</v>
      </c>
      <c r="D421" t="s">
        <v>21</v>
      </c>
      <c r="E421" t="s">
        <v>19</v>
      </c>
      <c r="F421">
        <v>8</v>
      </c>
      <c r="G421" s="3">
        <v>6131.79</v>
      </c>
      <c r="H421" s="4">
        <v>49054.32</v>
      </c>
      <c r="I421" s="18">
        <f>WEEKDAY(Table1[[#This Row],[Date]],3)</f>
        <v>4</v>
      </c>
    </row>
    <row r="422" spans="1:9" x14ac:dyDescent="0.3">
      <c r="A422" s="1">
        <v>45416</v>
      </c>
      <c r="B422" t="s">
        <v>29</v>
      </c>
      <c r="C422" t="s">
        <v>9</v>
      </c>
      <c r="D422" t="s">
        <v>21</v>
      </c>
      <c r="E422" t="s">
        <v>16</v>
      </c>
      <c r="F422">
        <v>17</v>
      </c>
      <c r="G422" s="3">
        <v>3049.11</v>
      </c>
      <c r="H422" s="4">
        <v>51834.87</v>
      </c>
      <c r="I422" s="18">
        <f>WEEKDAY(Table1[[#This Row],[Date]],3)</f>
        <v>5</v>
      </c>
    </row>
    <row r="423" spans="1:9" x14ac:dyDescent="0.3">
      <c r="A423" s="1">
        <v>45559</v>
      </c>
      <c r="B423" t="s">
        <v>27</v>
      </c>
      <c r="C423" t="s">
        <v>13</v>
      </c>
      <c r="D423" t="s">
        <v>21</v>
      </c>
      <c r="E423" t="s">
        <v>22</v>
      </c>
      <c r="F423">
        <v>5</v>
      </c>
      <c r="G423" s="3">
        <v>681.11</v>
      </c>
      <c r="H423" s="4">
        <v>3405.55</v>
      </c>
      <c r="I423" s="18">
        <f>WEEKDAY(Table1[[#This Row],[Date]],3)</f>
        <v>1</v>
      </c>
    </row>
    <row r="424" spans="1:9" x14ac:dyDescent="0.3">
      <c r="A424" s="1">
        <v>45648</v>
      </c>
      <c r="B424" t="s">
        <v>27</v>
      </c>
      <c r="C424" t="s">
        <v>9</v>
      </c>
      <c r="D424" t="s">
        <v>18</v>
      </c>
      <c r="E424" t="s">
        <v>16</v>
      </c>
      <c r="F424">
        <v>9</v>
      </c>
      <c r="G424" s="3">
        <v>996.62</v>
      </c>
      <c r="H424" s="4">
        <v>8969.58</v>
      </c>
      <c r="I424" s="18">
        <f>WEEKDAY(Table1[[#This Row],[Date]],3)</f>
        <v>6</v>
      </c>
    </row>
    <row r="425" spans="1:9" x14ac:dyDescent="0.3">
      <c r="A425" s="1">
        <v>45615</v>
      </c>
      <c r="B425" t="s">
        <v>27</v>
      </c>
      <c r="C425" t="s">
        <v>9</v>
      </c>
      <c r="D425" t="s">
        <v>15</v>
      </c>
      <c r="E425" t="s">
        <v>26</v>
      </c>
      <c r="F425">
        <v>8</v>
      </c>
      <c r="G425" s="3">
        <v>808.37</v>
      </c>
      <c r="H425" s="4">
        <v>6466.96</v>
      </c>
      <c r="I425" s="18">
        <f>WEEKDAY(Table1[[#This Row],[Date]],3)</f>
        <v>1</v>
      </c>
    </row>
    <row r="426" spans="1:9" x14ac:dyDescent="0.3">
      <c r="A426" s="1">
        <v>45623</v>
      </c>
      <c r="B426" t="s">
        <v>29</v>
      </c>
      <c r="C426" t="s">
        <v>24</v>
      </c>
      <c r="D426" t="s">
        <v>10</v>
      </c>
      <c r="E426" t="s">
        <v>26</v>
      </c>
      <c r="F426">
        <v>19</v>
      </c>
      <c r="G426" s="3">
        <v>4324.3</v>
      </c>
      <c r="H426" s="4">
        <v>82161.7</v>
      </c>
      <c r="I426" s="18">
        <f>WEEKDAY(Table1[[#This Row],[Date]],3)</f>
        <v>2</v>
      </c>
    </row>
    <row r="427" spans="1:9" x14ac:dyDescent="0.3">
      <c r="A427" s="1">
        <v>45384</v>
      </c>
      <c r="B427" t="s">
        <v>29</v>
      </c>
      <c r="C427" t="s">
        <v>9</v>
      </c>
      <c r="D427" t="s">
        <v>10</v>
      </c>
      <c r="E427" t="s">
        <v>19</v>
      </c>
      <c r="F427">
        <v>19</v>
      </c>
      <c r="G427" s="3">
        <v>2948.61</v>
      </c>
      <c r="H427" s="4">
        <v>56023.59</v>
      </c>
      <c r="I427" s="18">
        <f>WEEKDAY(Table1[[#This Row],[Date]],3)</f>
        <v>1</v>
      </c>
    </row>
    <row r="428" spans="1:9" x14ac:dyDescent="0.3">
      <c r="A428" s="1">
        <v>45639</v>
      </c>
      <c r="B428" t="s">
        <v>8</v>
      </c>
      <c r="C428" t="s">
        <v>24</v>
      </c>
      <c r="D428" t="s">
        <v>21</v>
      </c>
      <c r="E428" t="s">
        <v>16</v>
      </c>
      <c r="F428">
        <v>3</v>
      </c>
      <c r="G428" s="3">
        <v>1309.5999999999999</v>
      </c>
      <c r="H428" s="4">
        <v>3928.8</v>
      </c>
      <c r="I428" s="18">
        <f>WEEKDAY(Table1[[#This Row],[Date]],3)</f>
        <v>4</v>
      </c>
    </row>
    <row r="429" spans="1:9" x14ac:dyDescent="0.3">
      <c r="A429" s="1">
        <v>45485</v>
      </c>
      <c r="B429" t="s">
        <v>14</v>
      </c>
      <c r="C429" t="s">
        <v>24</v>
      </c>
      <c r="D429" t="s">
        <v>10</v>
      </c>
      <c r="E429" t="s">
        <v>26</v>
      </c>
      <c r="F429">
        <v>1</v>
      </c>
      <c r="G429" s="3">
        <v>516.83000000000004</v>
      </c>
      <c r="H429" s="4">
        <v>516.83000000000004</v>
      </c>
      <c r="I429" s="18">
        <f>WEEKDAY(Table1[[#This Row],[Date]],3)</f>
        <v>4</v>
      </c>
    </row>
    <row r="430" spans="1:9" x14ac:dyDescent="0.3">
      <c r="A430" s="1">
        <v>45553</v>
      </c>
      <c r="B430" t="s">
        <v>29</v>
      </c>
      <c r="C430" t="s">
        <v>9</v>
      </c>
      <c r="D430" t="s">
        <v>15</v>
      </c>
      <c r="E430" t="s">
        <v>26</v>
      </c>
      <c r="F430">
        <v>12</v>
      </c>
      <c r="G430" s="3">
        <v>3718.55</v>
      </c>
      <c r="H430" s="4">
        <v>44622.6</v>
      </c>
      <c r="I430" s="18">
        <f>WEEKDAY(Table1[[#This Row],[Date]],3)</f>
        <v>2</v>
      </c>
    </row>
    <row r="431" spans="1:9" x14ac:dyDescent="0.3">
      <c r="A431" s="1">
        <v>45574</v>
      </c>
      <c r="B431" t="s">
        <v>14</v>
      </c>
      <c r="C431" t="s">
        <v>13</v>
      </c>
      <c r="D431" t="s">
        <v>21</v>
      </c>
      <c r="E431" t="s">
        <v>22</v>
      </c>
      <c r="F431">
        <v>1</v>
      </c>
      <c r="G431" s="3">
        <v>582.16999999999996</v>
      </c>
      <c r="H431" s="4">
        <v>582.16999999999996</v>
      </c>
      <c r="I431" s="18">
        <f>WEEKDAY(Table1[[#This Row],[Date]],3)</f>
        <v>2</v>
      </c>
    </row>
    <row r="432" spans="1:9" x14ac:dyDescent="0.3">
      <c r="A432" s="1">
        <v>45400</v>
      </c>
      <c r="B432" t="s">
        <v>25</v>
      </c>
      <c r="C432" t="s">
        <v>13</v>
      </c>
      <c r="D432" t="s">
        <v>21</v>
      </c>
      <c r="E432" t="s">
        <v>11</v>
      </c>
      <c r="F432">
        <v>16</v>
      </c>
      <c r="G432" s="3">
        <v>13026.15</v>
      </c>
      <c r="H432" s="4">
        <v>208418.4</v>
      </c>
      <c r="I432" s="18">
        <f>WEEKDAY(Table1[[#This Row],[Date]],3)</f>
        <v>3</v>
      </c>
    </row>
    <row r="433" spans="1:9" x14ac:dyDescent="0.3">
      <c r="A433" s="1">
        <v>45603</v>
      </c>
      <c r="B433" t="s">
        <v>25</v>
      </c>
      <c r="C433" t="s">
        <v>9</v>
      </c>
      <c r="D433" t="s">
        <v>18</v>
      </c>
      <c r="E433" t="s">
        <v>26</v>
      </c>
      <c r="F433">
        <v>14</v>
      </c>
      <c r="G433" s="3">
        <v>10945.47</v>
      </c>
      <c r="H433" s="4">
        <v>153236.57999999999</v>
      </c>
      <c r="I433" s="18">
        <f>WEEKDAY(Table1[[#This Row],[Date]],3)</f>
        <v>3</v>
      </c>
    </row>
    <row r="434" spans="1:9" x14ac:dyDescent="0.3">
      <c r="A434" s="1">
        <v>45427</v>
      </c>
      <c r="B434" t="s">
        <v>8</v>
      </c>
      <c r="C434" t="s">
        <v>9</v>
      </c>
      <c r="D434" t="s">
        <v>15</v>
      </c>
      <c r="E434" t="s">
        <v>16</v>
      </c>
      <c r="F434">
        <v>17</v>
      </c>
      <c r="G434" s="3">
        <v>997.33</v>
      </c>
      <c r="H434" s="4">
        <v>16954.61</v>
      </c>
      <c r="I434" s="18">
        <f>WEEKDAY(Table1[[#This Row],[Date]],3)</f>
        <v>2</v>
      </c>
    </row>
    <row r="435" spans="1:9" x14ac:dyDescent="0.3">
      <c r="A435" s="1">
        <v>45397</v>
      </c>
      <c r="B435" t="s">
        <v>29</v>
      </c>
      <c r="C435" t="s">
        <v>24</v>
      </c>
      <c r="D435" t="s">
        <v>18</v>
      </c>
      <c r="E435" t="s">
        <v>26</v>
      </c>
      <c r="F435">
        <v>5</v>
      </c>
      <c r="G435" s="3">
        <v>3047.58</v>
      </c>
      <c r="H435" s="4">
        <v>15237.9</v>
      </c>
      <c r="I435" s="18">
        <f>WEEKDAY(Table1[[#This Row],[Date]],3)</f>
        <v>0</v>
      </c>
    </row>
    <row r="436" spans="1:9" x14ac:dyDescent="0.3">
      <c r="A436" s="1">
        <v>45308</v>
      </c>
      <c r="B436" t="s">
        <v>14</v>
      </c>
      <c r="C436" t="s">
        <v>9</v>
      </c>
      <c r="D436" t="s">
        <v>10</v>
      </c>
      <c r="E436" t="s">
        <v>11</v>
      </c>
      <c r="F436">
        <v>7</v>
      </c>
      <c r="G436" s="3">
        <v>626.91999999999996</v>
      </c>
      <c r="H436" s="4">
        <v>4388.4399999999996</v>
      </c>
      <c r="I436" s="18">
        <f>WEEKDAY(Table1[[#This Row],[Date]],3)</f>
        <v>2</v>
      </c>
    </row>
    <row r="437" spans="1:9" x14ac:dyDescent="0.3">
      <c r="A437" s="1">
        <v>45330</v>
      </c>
      <c r="B437" t="s">
        <v>27</v>
      </c>
      <c r="C437" t="s">
        <v>13</v>
      </c>
      <c r="D437" t="s">
        <v>18</v>
      </c>
      <c r="E437" t="s">
        <v>16</v>
      </c>
      <c r="F437">
        <v>1</v>
      </c>
      <c r="G437" s="3">
        <v>747.14</v>
      </c>
      <c r="H437" s="4">
        <v>747.14</v>
      </c>
      <c r="I437" s="18">
        <f>WEEKDAY(Table1[[#This Row],[Date]],3)</f>
        <v>3</v>
      </c>
    </row>
    <row r="438" spans="1:9" x14ac:dyDescent="0.3">
      <c r="A438" s="1">
        <v>45310</v>
      </c>
      <c r="B438" t="s">
        <v>14</v>
      </c>
      <c r="C438" t="s">
        <v>9</v>
      </c>
      <c r="D438" t="s">
        <v>18</v>
      </c>
      <c r="E438" t="s">
        <v>16</v>
      </c>
      <c r="F438">
        <v>12</v>
      </c>
      <c r="G438" s="3">
        <v>662.86</v>
      </c>
      <c r="H438" s="4">
        <v>7954.32</v>
      </c>
      <c r="I438" s="18">
        <f>WEEKDAY(Table1[[#This Row],[Date]],3)</f>
        <v>4</v>
      </c>
    </row>
    <row r="439" spans="1:9" x14ac:dyDescent="0.3">
      <c r="A439" s="1">
        <v>45592</v>
      </c>
      <c r="B439" t="s">
        <v>12</v>
      </c>
      <c r="C439" t="s">
        <v>13</v>
      </c>
      <c r="D439" t="s">
        <v>21</v>
      </c>
      <c r="E439" t="s">
        <v>22</v>
      </c>
      <c r="F439">
        <v>5</v>
      </c>
      <c r="G439" s="3">
        <v>630.85</v>
      </c>
      <c r="H439" s="4">
        <v>3154.25</v>
      </c>
      <c r="I439" s="18">
        <f>WEEKDAY(Table1[[#This Row],[Date]],3)</f>
        <v>6</v>
      </c>
    </row>
    <row r="440" spans="1:9" x14ac:dyDescent="0.3">
      <c r="A440" s="1">
        <v>45638</v>
      </c>
      <c r="B440" t="s">
        <v>23</v>
      </c>
      <c r="C440" t="s">
        <v>24</v>
      </c>
      <c r="D440" t="s">
        <v>18</v>
      </c>
      <c r="E440" t="s">
        <v>26</v>
      </c>
      <c r="F440">
        <v>15</v>
      </c>
      <c r="G440" s="3">
        <v>1834.44</v>
      </c>
      <c r="H440" s="4">
        <v>27516.6</v>
      </c>
      <c r="I440" s="18">
        <f>WEEKDAY(Table1[[#This Row],[Date]],3)</f>
        <v>3</v>
      </c>
    </row>
    <row r="441" spans="1:9" x14ac:dyDescent="0.3">
      <c r="A441" s="1">
        <v>45437</v>
      </c>
      <c r="B441" t="s">
        <v>17</v>
      </c>
      <c r="C441" t="s">
        <v>24</v>
      </c>
      <c r="D441" t="s">
        <v>18</v>
      </c>
      <c r="E441" t="s">
        <v>19</v>
      </c>
      <c r="F441">
        <v>18</v>
      </c>
      <c r="G441" s="3">
        <v>1888.43</v>
      </c>
      <c r="H441" s="4">
        <v>33991.74</v>
      </c>
      <c r="I441" s="18">
        <f>WEEKDAY(Table1[[#This Row],[Date]],3)</f>
        <v>5</v>
      </c>
    </row>
    <row r="442" spans="1:9" x14ac:dyDescent="0.3">
      <c r="A442" s="1">
        <v>45530</v>
      </c>
      <c r="B442" t="s">
        <v>14</v>
      </c>
      <c r="C442" t="s">
        <v>9</v>
      </c>
      <c r="D442" t="s">
        <v>18</v>
      </c>
      <c r="E442" t="s">
        <v>19</v>
      </c>
      <c r="F442">
        <v>19</v>
      </c>
      <c r="G442" s="3">
        <v>547.72</v>
      </c>
      <c r="H442" s="4">
        <v>10406.68</v>
      </c>
      <c r="I442" s="18">
        <f>WEEKDAY(Table1[[#This Row],[Date]],3)</f>
        <v>0</v>
      </c>
    </row>
    <row r="443" spans="1:9" x14ac:dyDescent="0.3">
      <c r="A443" s="1">
        <v>45549</v>
      </c>
      <c r="B443" t="s">
        <v>20</v>
      </c>
      <c r="C443" t="s">
        <v>24</v>
      </c>
      <c r="D443" t="s">
        <v>15</v>
      </c>
      <c r="E443" t="s">
        <v>11</v>
      </c>
      <c r="F443">
        <v>11</v>
      </c>
      <c r="G443" s="3">
        <v>5296.08</v>
      </c>
      <c r="H443" s="4">
        <v>58256.88</v>
      </c>
      <c r="I443" s="18">
        <f>WEEKDAY(Table1[[#This Row],[Date]],3)</f>
        <v>5</v>
      </c>
    </row>
    <row r="444" spans="1:9" x14ac:dyDescent="0.3">
      <c r="A444" s="1">
        <v>45501</v>
      </c>
      <c r="B444" t="s">
        <v>27</v>
      </c>
      <c r="C444" t="s">
        <v>24</v>
      </c>
      <c r="D444" t="s">
        <v>18</v>
      </c>
      <c r="E444" t="s">
        <v>26</v>
      </c>
      <c r="F444">
        <v>7</v>
      </c>
      <c r="G444" s="3">
        <v>979.38</v>
      </c>
      <c r="H444" s="4">
        <v>6855.66</v>
      </c>
      <c r="I444" s="18">
        <f>WEEKDAY(Table1[[#This Row],[Date]],3)</f>
        <v>6</v>
      </c>
    </row>
    <row r="445" spans="1:9" x14ac:dyDescent="0.3">
      <c r="A445" s="1">
        <v>45375</v>
      </c>
      <c r="B445" t="s">
        <v>29</v>
      </c>
      <c r="C445" t="s">
        <v>13</v>
      </c>
      <c r="D445" t="s">
        <v>18</v>
      </c>
      <c r="E445" t="s">
        <v>22</v>
      </c>
      <c r="F445">
        <v>6</v>
      </c>
      <c r="G445" s="3">
        <v>4190.9399999999996</v>
      </c>
      <c r="H445" s="4">
        <v>25145.64</v>
      </c>
      <c r="I445" s="18">
        <f>WEEKDAY(Table1[[#This Row],[Date]],3)</f>
        <v>6</v>
      </c>
    </row>
    <row r="446" spans="1:9" x14ac:dyDescent="0.3">
      <c r="A446" s="1">
        <v>45641</v>
      </c>
      <c r="B446" t="s">
        <v>14</v>
      </c>
      <c r="C446" t="s">
        <v>24</v>
      </c>
      <c r="D446" t="s">
        <v>18</v>
      </c>
      <c r="E446" t="s">
        <v>26</v>
      </c>
      <c r="F446">
        <v>12</v>
      </c>
      <c r="G446" s="3">
        <v>526.21</v>
      </c>
      <c r="H446" s="4">
        <v>6314.52</v>
      </c>
      <c r="I446" s="18">
        <f>WEEKDAY(Table1[[#This Row],[Date]],3)</f>
        <v>6</v>
      </c>
    </row>
    <row r="447" spans="1:9" x14ac:dyDescent="0.3">
      <c r="A447" s="1">
        <v>45612</v>
      </c>
      <c r="B447" t="s">
        <v>23</v>
      </c>
      <c r="C447" t="s">
        <v>9</v>
      </c>
      <c r="D447" t="s">
        <v>10</v>
      </c>
      <c r="E447" t="s">
        <v>22</v>
      </c>
      <c r="F447">
        <v>5</v>
      </c>
      <c r="G447" s="3">
        <v>1160.7</v>
      </c>
      <c r="H447" s="4">
        <v>5803.5</v>
      </c>
      <c r="I447" s="18">
        <f>WEEKDAY(Table1[[#This Row],[Date]],3)</f>
        <v>5</v>
      </c>
    </row>
    <row r="448" spans="1:9" x14ac:dyDescent="0.3">
      <c r="A448" s="1">
        <v>45340</v>
      </c>
      <c r="B448" t="s">
        <v>20</v>
      </c>
      <c r="C448" t="s">
        <v>13</v>
      </c>
      <c r="D448" t="s">
        <v>21</v>
      </c>
      <c r="E448" t="s">
        <v>26</v>
      </c>
      <c r="F448">
        <v>6</v>
      </c>
      <c r="G448" s="3">
        <v>6036.81</v>
      </c>
      <c r="H448" s="4">
        <v>36220.86</v>
      </c>
      <c r="I448" s="18">
        <f>WEEKDAY(Table1[[#This Row],[Date]],3)</f>
        <v>6</v>
      </c>
    </row>
    <row r="449" spans="1:9" x14ac:dyDescent="0.3">
      <c r="A449" s="1">
        <v>45398</v>
      </c>
      <c r="B449" t="s">
        <v>17</v>
      </c>
      <c r="C449" t="s">
        <v>13</v>
      </c>
      <c r="D449" t="s">
        <v>18</v>
      </c>
      <c r="E449" t="s">
        <v>26</v>
      </c>
      <c r="F449">
        <v>6</v>
      </c>
      <c r="G449" s="3">
        <v>2933.48</v>
      </c>
      <c r="H449" s="4">
        <v>17600.88</v>
      </c>
      <c r="I449" s="18">
        <f>WEEKDAY(Table1[[#This Row],[Date]],3)</f>
        <v>1</v>
      </c>
    </row>
    <row r="450" spans="1:9" x14ac:dyDescent="0.3">
      <c r="A450" s="1">
        <v>45479</v>
      </c>
      <c r="B450" t="s">
        <v>17</v>
      </c>
      <c r="C450" t="s">
        <v>13</v>
      </c>
      <c r="D450" t="s">
        <v>10</v>
      </c>
      <c r="E450" t="s">
        <v>19</v>
      </c>
      <c r="F450">
        <v>12</v>
      </c>
      <c r="G450" s="3">
        <v>3124.95</v>
      </c>
      <c r="H450" s="4">
        <v>37499.4</v>
      </c>
      <c r="I450" s="18">
        <f>WEEKDAY(Table1[[#This Row],[Date]],3)</f>
        <v>5</v>
      </c>
    </row>
    <row r="451" spans="1:9" x14ac:dyDescent="0.3">
      <c r="A451" s="1">
        <v>45354</v>
      </c>
      <c r="B451" t="s">
        <v>23</v>
      </c>
      <c r="C451" t="s">
        <v>13</v>
      </c>
      <c r="D451" t="s">
        <v>21</v>
      </c>
      <c r="E451" t="s">
        <v>22</v>
      </c>
      <c r="F451">
        <v>4</v>
      </c>
      <c r="G451" s="3">
        <v>1403.68</v>
      </c>
      <c r="H451" s="4">
        <v>5614.72</v>
      </c>
      <c r="I451" s="18">
        <f>WEEKDAY(Table1[[#This Row],[Date]],3)</f>
        <v>6</v>
      </c>
    </row>
    <row r="452" spans="1:9" x14ac:dyDescent="0.3">
      <c r="A452" s="1">
        <v>45458</v>
      </c>
      <c r="B452" t="s">
        <v>17</v>
      </c>
      <c r="C452" t="s">
        <v>9</v>
      </c>
      <c r="D452" t="s">
        <v>10</v>
      </c>
      <c r="E452" t="s">
        <v>19</v>
      </c>
      <c r="F452">
        <v>5</v>
      </c>
      <c r="G452" s="3">
        <v>3085.15</v>
      </c>
      <c r="H452" s="4">
        <v>15425.75</v>
      </c>
      <c r="I452" s="18">
        <f>WEEKDAY(Table1[[#This Row],[Date]],3)</f>
        <v>5</v>
      </c>
    </row>
    <row r="453" spans="1:9" x14ac:dyDescent="0.3">
      <c r="A453" s="1">
        <v>45484</v>
      </c>
      <c r="B453" t="s">
        <v>8</v>
      </c>
      <c r="C453" t="s">
        <v>13</v>
      </c>
      <c r="D453" t="s">
        <v>18</v>
      </c>
      <c r="E453" t="s">
        <v>22</v>
      </c>
      <c r="F453">
        <v>18</v>
      </c>
      <c r="G453" s="3">
        <v>1298.57</v>
      </c>
      <c r="H453" s="4">
        <v>23374.26</v>
      </c>
      <c r="I453" s="18">
        <f>WEEKDAY(Table1[[#This Row],[Date]],3)</f>
        <v>3</v>
      </c>
    </row>
    <row r="454" spans="1:9" x14ac:dyDescent="0.3">
      <c r="A454" s="1">
        <v>45417</v>
      </c>
      <c r="B454" t="s">
        <v>25</v>
      </c>
      <c r="C454" t="s">
        <v>9</v>
      </c>
      <c r="D454" t="s">
        <v>15</v>
      </c>
      <c r="E454" t="s">
        <v>16</v>
      </c>
      <c r="F454">
        <v>8</v>
      </c>
      <c r="G454" s="3">
        <v>13781.34</v>
      </c>
      <c r="H454" s="4">
        <v>110250.72</v>
      </c>
      <c r="I454" s="18">
        <f>WEEKDAY(Table1[[#This Row],[Date]],3)</f>
        <v>6</v>
      </c>
    </row>
    <row r="455" spans="1:9" x14ac:dyDescent="0.3">
      <c r="A455" s="1">
        <v>45407</v>
      </c>
      <c r="B455" t="s">
        <v>14</v>
      </c>
      <c r="C455" t="s">
        <v>24</v>
      </c>
      <c r="D455" t="s">
        <v>18</v>
      </c>
      <c r="E455" t="s">
        <v>19</v>
      </c>
      <c r="F455">
        <v>17</v>
      </c>
      <c r="G455" s="3">
        <v>470.6</v>
      </c>
      <c r="H455" s="4">
        <v>8000.2</v>
      </c>
      <c r="I455" s="18">
        <f>WEEKDAY(Table1[[#This Row],[Date]],3)</f>
        <v>3</v>
      </c>
    </row>
    <row r="456" spans="1:9" x14ac:dyDescent="0.3">
      <c r="A456" s="1">
        <v>45616</v>
      </c>
      <c r="B456" t="s">
        <v>14</v>
      </c>
      <c r="C456" t="s">
        <v>13</v>
      </c>
      <c r="D456" t="s">
        <v>10</v>
      </c>
      <c r="E456" t="s">
        <v>11</v>
      </c>
      <c r="F456">
        <v>13</v>
      </c>
      <c r="G456" s="3">
        <v>558.30999999999995</v>
      </c>
      <c r="H456" s="4">
        <v>7258.03</v>
      </c>
      <c r="I456" s="18">
        <f>WEEKDAY(Table1[[#This Row],[Date]],3)</f>
        <v>2</v>
      </c>
    </row>
    <row r="457" spans="1:9" x14ac:dyDescent="0.3">
      <c r="A457" s="1">
        <v>45446</v>
      </c>
      <c r="B457" t="s">
        <v>29</v>
      </c>
      <c r="C457" t="s">
        <v>13</v>
      </c>
      <c r="D457" t="s">
        <v>21</v>
      </c>
      <c r="E457" t="s">
        <v>11</v>
      </c>
      <c r="F457">
        <v>10</v>
      </c>
      <c r="G457" s="3">
        <v>3280.41</v>
      </c>
      <c r="H457" s="4">
        <v>32804.1</v>
      </c>
      <c r="I457" s="18">
        <f>WEEKDAY(Table1[[#This Row],[Date]],3)</f>
        <v>0</v>
      </c>
    </row>
    <row r="458" spans="1:9" x14ac:dyDescent="0.3">
      <c r="A458" s="1">
        <v>45553</v>
      </c>
      <c r="B458" t="s">
        <v>28</v>
      </c>
      <c r="C458" t="s">
        <v>24</v>
      </c>
      <c r="D458" t="s">
        <v>15</v>
      </c>
      <c r="E458" t="s">
        <v>16</v>
      </c>
      <c r="F458">
        <v>5</v>
      </c>
      <c r="G458" s="3">
        <v>1273.55</v>
      </c>
      <c r="H458" s="4">
        <v>6367.75</v>
      </c>
      <c r="I458" s="18">
        <f>WEEKDAY(Table1[[#This Row],[Date]],3)</f>
        <v>2</v>
      </c>
    </row>
    <row r="459" spans="1:9" x14ac:dyDescent="0.3">
      <c r="A459" s="1">
        <v>45648</v>
      </c>
      <c r="B459" t="s">
        <v>27</v>
      </c>
      <c r="C459" t="s">
        <v>13</v>
      </c>
      <c r="D459" t="s">
        <v>15</v>
      </c>
      <c r="E459" t="s">
        <v>19</v>
      </c>
      <c r="F459">
        <v>18</v>
      </c>
      <c r="G459" s="3">
        <v>956.82</v>
      </c>
      <c r="H459" s="4">
        <v>17222.759999999998</v>
      </c>
      <c r="I459" s="18">
        <f>WEEKDAY(Table1[[#This Row],[Date]],3)</f>
        <v>6</v>
      </c>
    </row>
    <row r="460" spans="1:9" x14ac:dyDescent="0.3">
      <c r="A460" s="1">
        <v>45576</v>
      </c>
      <c r="B460" t="s">
        <v>8</v>
      </c>
      <c r="C460" t="s">
        <v>9</v>
      </c>
      <c r="D460" t="s">
        <v>18</v>
      </c>
      <c r="E460" t="s">
        <v>19</v>
      </c>
      <c r="F460">
        <v>5</v>
      </c>
      <c r="G460" s="3">
        <v>950.98</v>
      </c>
      <c r="H460" s="4">
        <v>4754.8999999999996</v>
      </c>
      <c r="I460" s="18">
        <f>WEEKDAY(Table1[[#This Row],[Date]],3)</f>
        <v>4</v>
      </c>
    </row>
    <row r="461" spans="1:9" x14ac:dyDescent="0.3">
      <c r="A461" s="1">
        <v>45596</v>
      </c>
      <c r="B461" t="s">
        <v>17</v>
      </c>
      <c r="C461" t="s">
        <v>9</v>
      </c>
      <c r="D461" t="s">
        <v>15</v>
      </c>
      <c r="E461" t="s">
        <v>16</v>
      </c>
      <c r="F461">
        <v>19</v>
      </c>
      <c r="G461" s="3">
        <v>2284.2800000000002</v>
      </c>
      <c r="H461" s="4">
        <v>43401.32</v>
      </c>
      <c r="I461" s="18">
        <f>WEEKDAY(Table1[[#This Row],[Date]],3)</f>
        <v>3</v>
      </c>
    </row>
    <row r="462" spans="1:9" x14ac:dyDescent="0.3">
      <c r="A462" s="1">
        <v>45645</v>
      </c>
      <c r="B462" t="s">
        <v>27</v>
      </c>
      <c r="C462" t="s">
        <v>24</v>
      </c>
      <c r="D462" t="s">
        <v>18</v>
      </c>
      <c r="E462" t="s">
        <v>16</v>
      </c>
      <c r="F462">
        <v>14</v>
      </c>
      <c r="G462" s="3">
        <v>885.15</v>
      </c>
      <c r="H462" s="4">
        <v>12392.1</v>
      </c>
      <c r="I462" s="18">
        <f>WEEKDAY(Table1[[#This Row],[Date]],3)</f>
        <v>3</v>
      </c>
    </row>
    <row r="463" spans="1:9" x14ac:dyDescent="0.3">
      <c r="A463" s="1">
        <v>45312</v>
      </c>
      <c r="B463" t="s">
        <v>23</v>
      </c>
      <c r="C463" t="s">
        <v>13</v>
      </c>
      <c r="D463" t="s">
        <v>18</v>
      </c>
      <c r="E463" t="s">
        <v>19</v>
      </c>
      <c r="F463">
        <v>3</v>
      </c>
      <c r="G463" s="3">
        <v>1185.47</v>
      </c>
      <c r="H463" s="4">
        <v>3556.41</v>
      </c>
      <c r="I463" s="18">
        <f>WEEKDAY(Table1[[#This Row],[Date]],3)</f>
        <v>6</v>
      </c>
    </row>
    <row r="464" spans="1:9" x14ac:dyDescent="0.3">
      <c r="A464" s="1">
        <v>45645</v>
      </c>
      <c r="B464" t="s">
        <v>8</v>
      </c>
      <c r="C464" t="s">
        <v>13</v>
      </c>
      <c r="D464" t="s">
        <v>18</v>
      </c>
      <c r="E464" t="s">
        <v>26</v>
      </c>
      <c r="F464">
        <v>3</v>
      </c>
      <c r="G464" s="3">
        <v>1473.83</v>
      </c>
      <c r="H464" s="4">
        <v>4421.49</v>
      </c>
      <c r="I464" s="18">
        <f>WEEKDAY(Table1[[#This Row],[Date]],3)</f>
        <v>3</v>
      </c>
    </row>
    <row r="465" spans="1:9" x14ac:dyDescent="0.3">
      <c r="A465" s="1">
        <v>45395</v>
      </c>
      <c r="B465" t="s">
        <v>29</v>
      </c>
      <c r="C465" t="s">
        <v>9</v>
      </c>
      <c r="D465" t="s">
        <v>21</v>
      </c>
      <c r="E465" t="s">
        <v>22</v>
      </c>
      <c r="F465">
        <v>19</v>
      </c>
      <c r="G465" s="3">
        <v>2872.76</v>
      </c>
      <c r="H465" s="4">
        <v>54582.44</v>
      </c>
      <c r="I465" s="18">
        <f>WEEKDAY(Table1[[#This Row],[Date]],3)</f>
        <v>5</v>
      </c>
    </row>
    <row r="466" spans="1:9" x14ac:dyDescent="0.3">
      <c r="A466" s="1">
        <v>45632</v>
      </c>
      <c r="B466" t="s">
        <v>14</v>
      </c>
      <c r="C466" t="s">
        <v>9</v>
      </c>
      <c r="D466" t="s">
        <v>18</v>
      </c>
      <c r="E466" t="s">
        <v>16</v>
      </c>
      <c r="F466">
        <v>4</v>
      </c>
      <c r="G466" s="3">
        <v>746.5</v>
      </c>
      <c r="H466" s="4">
        <v>2986</v>
      </c>
      <c r="I466" s="18">
        <f>WEEKDAY(Table1[[#This Row],[Date]],3)</f>
        <v>4</v>
      </c>
    </row>
    <row r="467" spans="1:9" x14ac:dyDescent="0.3">
      <c r="A467" s="1">
        <v>45355</v>
      </c>
      <c r="B467" t="s">
        <v>28</v>
      </c>
      <c r="C467" t="s">
        <v>24</v>
      </c>
      <c r="D467" t="s">
        <v>10</v>
      </c>
      <c r="E467" t="s">
        <v>16</v>
      </c>
      <c r="F467">
        <v>15</v>
      </c>
      <c r="G467" s="3">
        <v>1221.98</v>
      </c>
      <c r="H467" s="4">
        <v>18329.7</v>
      </c>
      <c r="I467" s="18">
        <f>WEEKDAY(Table1[[#This Row],[Date]],3)</f>
        <v>0</v>
      </c>
    </row>
    <row r="468" spans="1:9" x14ac:dyDescent="0.3">
      <c r="A468" s="1">
        <v>45440</v>
      </c>
      <c r="B468" t="s">
        <v>29</v>
      </c>
      <c r="C468" t="s">
        <v>13</v>
      </c>
      <c r="D468" t="s">
        <v>10</v>
      </c>
      <c r="E468" t="s">
        <v>19</v>
      </c>
      <c r="F468">
        <v>5</v>
      </c>
      <c r="G468" s="3">
        <v>4117.84</v>
      </c>
      <c r="H468" s="4">
        <v>20589.2</v>
      </c>
      <c r="I468" s="18">
        <f>WEEKDAY(Table1[[#This Row],[Date]],3)</f>
        <v>1</v>
      </c>
    </row>
    <row r="469" spans="1:9" x14ac:dyDescent="0.3">
      <c r="A469" s="1">
        <v>45311</v>
      </c>
      <c r="B469" t="s">
        <v>20</v>
      </c>
      <c r="C469" t="s">
        <v>24</v>
      </c>
      <c r="D469" t="s">
        <v>15</v>
      </c>
      <c r="E469" t="s">
        <v>19</v>
      </c>
      <c r="F469">
        <v>6</v>
      </c>
      <c r="G469" s="3">
        <v>3946.39</v>
      </c>
      <c r="H469" s="4">
        <v>23678.34</v>
      </c>
      <c r="I469" s="18">
        <f>WEEKDAY(Table1[[#This Row],[Date]],3)</f>
        <v>5</v>
      </c>
    </row>
    <row r="470" spans="1:9" x14ac:dyDescent="0.3">
      <c r="A470" s="1">
        <v>45438</v>
      </c>
      <c r="B470" t="s">
        <v>12</v>
      </c>
      <c r="C470" t="s">
        <v>24</v>
      </c>
      <c r="D470" t="s">
        <v>10</v>
      </c>
      <c r="E470" t="s">
        <v>22</v>
      </c>
      <c r="F470">
        <v>4</v>
      </c>
      <c r="G470" s="3">
        <v>784.32</v>
      </c>
      <c r="H470" s="4">
        <v>3137.28</v>
      </c>
      <c r="I470" s="18">
        <f>WEEKDAY(Table1[[#This Row],[Date]],3)</f>
        <v>6</v>
      </c>
    </row>
    <row r="471" spans="1:9" x14ac:dyDescent="0.3">
      <c r="A471" s="1">
        <v>45507</v>
      </c>
      <c r="B471" t="s">
        <v>23</v>
      </c>
      <c r="C471" t="s">
        <v>13</v>
      </c>
      <c r="D471" t="s">
        <v>10</v>
      </c>
      <c r="E471" t="s">
        <v>11</v>
      </c>
      <c r="F471">
        <v>19</v>
      </c>
      <c r="G471" s="3">
        <v>1569.55</v>
      </c>
      <c r="H471" s="4">
        <v>29821.45</v>
      </c>
      <c r="I471" s="18">
        <f>WEEKDAY(Table1[[#This Row],[Date]],3)</f>
        <v>5</v>
      </c>
    </row>
    <row r="472" spans="1:9" x14ac:dyDescent="0.3">
      <c r="A472" s="1">
        <v>45470</v>
      </c>
      <c r="B472" t="s">
        <v>28</v>
      </c>
      <c r="C472" t="s">
        <v>24</v>
      </c>
      <c r="D472" t="s">
        <v>10</v>
      </c>
      <c r="E472" t="s">
        <v>22</v>
      </c>
      <c r="F472">
        <v>19</v>
      </c>
      <c r="G472" s="3">
        <v>1061.27</v>
      </c>
      <c r="H472" s="4">
        <v>20164.13</v>
      </c>
      <c r="I472" s="18">
        <f>WEEKDAY(Table1[[#This Row],[Date]],3)</f>
        <v>3</v>
      </c>
    </row>
    <row r="473" spans="1:9" x14ac:dyDescent="0.3">
      <c r="A473" s="1">
        <v>45530</v>
      </c>
      <c r="B473" t="s">
        <v>8</v>
      </c>
      <c r="C473" t="s">
        <v>13</v>
      </c>
      <c r="D473" t="s">
        <v>18</v>
      </c>
      <c r="E473" t="s">
        <v>11</v>
      </c>
      <c r="F473">
        <v>16</v>
      </c>
      <c r="G473" s="3">
        <v>1557.21</v>
      </c>
      <c r="H473" s="4">
        <v>24915.360000000001</v>
      </c>
      <c r="I473" s="18">
        <f>WEEKDAY(Table1[[#This Row],[Date]],3)</f>
        <v>0</v>
      </c>
    </row>
    <row r="474" spans="1:9" x14ac:dyDescent="0.3">
      <c r="A474" s="1">
        <v>45619</v>
      </c>
      <c r="B474" t="s">
        <v>8</v>
      </c>
      <c r="C474" t="s">
        <v>9</v>
      </c>
      <c r="D474" t="s">
        <v>18</v>
      </c>
      <c r="E474" t="s">
        <v>26</v>
      </c>
      <c r="F474">
        <v>17</v>
      </c>
      <c r="G474" s="3">
        <v>1054.8699999999999</v>
      </c>
      <c r="H474" s="4">
        <v>17932.79</v>
      </c>
      <c r="I474" s="18">
        <f>WEEKDAY(Table1[[#This Row],[Date]],3)</f>
        <v>5</v>
      </c>
    </row>
    <row r="475" spans="1:9" x14ac:dyDescent="0.3">
      <c r="A475" s="1">
        <v>45619</v>
      </c>
      <c r="B475" t="s">
        <v>27</v>
      </c>
      <c r="C475" t="s">
        <v>13</v>
      </c>
      <c r="D475" t="s">
        <v>15</v>
      </c>
      <c r="E475" t="s">
        <v>11</v>
      </c>
      <c r="F475">
        <v>5</v>
      </c>
      <c r="G475" s="3">
        <v>805.01</v>
      </c>
      <c r="H475" s="4">
        <v>4025.05</v>
      </c>
      <c r="I475" s="18">
        <f>WEEKDAY(Table1[[#This Row],[Date]],3)</f>
        <v>5</v>
      </c>
    </row>
    <row r="476" spans="1:9" x14ac:dyDescent="0.3">
      <c r="A476" s="1">
        <v>45480</v>
      </c>
      <c r="B476" t="s">
        <v>23</v>
      </c>
      <c r="C476" t="s">
        <v>24</v>
      </c>
      <c r="D476" t="s">
        <v>21</v>
      </c>
      <c r="E476" t="s">
        <v>16</v>
      </c>
      <c r="F476">
        <v>11</v>
      </c>
      <c r="G476" s="3">
        <v>1834.84</v>
      </c>
      <c r="H476" s="4">
        <v>20183.240000000002</v>
      </c>
      <c r="I476" s="18">
        <f>WEEKDAY(Table1[[#This Row],[Date]],3)</f>
        <v>6</v>
      </c>
    </row>
    <row r="477" spans="1:9" x14ac:dyDescent="0.3">
      <c r="A477" s="1">
        <v>45589</v>
      </c>
      <c r="B477" t="s">
        <v>28</v>
      </c>
      <c r="C477" t="s">
        <v>24</v>
      </c>
      <c r="D477" t="s">
        <v>18</v>
      </c>
      <c r="E477" t="s">
        <v>11</v>
      </c>
      <c r="F477">
        <v>15</v>
      </c>
      <c r="G477" s="3">
        <v>1294.33</v>
      </c>
      <c r="H477" s="4">
        <v>19414.95</v>
      </c>
      <c r="I477" s="18">
        <f>WEEKDAY(Table1[[#This Row],[Date]],3)</f>
        <v>3</v>
      </c>
    </row>
    <row r="478" spans="1:9" x14ac:dyDescent="0.3">
      <c r="A478" s="1">
        <v>45555</v>
      </c>
      <c r="B478" t="s">
        <v>12</v>
      </c>
      <c r="C478" t="s">
        <v>9</v>
      </c>
      <c r="D478" t="s">
        <v>21</v>
      </c>
      <c r="E478" t="s">
        <v>11</v>
      </c>
      <c r="F478">
        <v>1</v>
      </c>
      <c r="G478" s="3">
        <v>814.56</v>
      </c>
      <c r="H478" s="4">
        <v>814.56</v>
      </c>
      <c r="I478" s="18">
        <f>WEEKDAY(Table1[[#This Row],[Date]],3)</f>
        <v>4</v>
      </c>
    </row>
    <row r="479" spans="1:9" x14ac:dyDescent="0.3">
      <c r="A479" s="1">
        <v>45328</v>
      </c>
      <c r="B479" t="s">
        <v>25</v>
      </c>
      <c r="C479" t="s">
        <v>13</v>
      </c>
      <c r="D479" t="s">
        <v>18</v>
      </c>
      <c r="E479" t="s">
        <v>16</v>
      </c>
      <c r="F479">
        <v>8</v>
      </c>
      <c r="G479" s="3">
        <v>18933.82</v>
      </c>
      <c r="H479" s="4">
        <v>151470.56</v>
      </c>
      <c r="I479" s="18">
        <f>WEEKDAY(Table1[[#This Row],[Date]],3)</f>
        <v>1</v>
      </c>
    </row>
    <row r="480" spans="1:9" x14ac:dyDescent="0.3">
      <c r="A480" s="1">
        <v>45479</v>
      </c>
      <c r="B480" t="s">
        <v>20</v>
      </c>
      <c r="C480" t="s">
        <v>13</v>
      </c>
      <c r="D480" t="s">
        <v>18</v>
      </c>
      <c r="E480" t="s">
        <v>19</v>
      </c>
      <c r="F480">
        <v>3</v>
      </c>
      <c r="G480" s="3">
        <v>5340.81</v>
      </c>
      <c r="H480" s="4">
        <v>16022.43</v>
      </c>
      <c r="I480" s="18">
        <f>WEEKDAY(Table1[[#This Row],[Date]],3)</f>
        <v>5</v>
      </c>
    </row>
    <row r="481" spans="1:9" x14ac:dyDescent="0.3">
      <c r="A481" s="1">
        <v>45395</v>
      </c>
      <c r="B481" t="s">
        <v>23</v>
      </c>
      <c r="C481" t="s">
        <v>9</v>
      </c>
      <c r="D481" t="s">
        <v>15</v>
      </c>
      <c r="E481" t="s">
        <v>19</v>
      </c>
      <c r="F481">
        <v>6</v>
      </c>
      <c r="G481" s="3">
        <v>1325.52</v>
      </c>
      <c r="H481" s="4">
        <v>7953.12</v>
      </c>
      <c r="I481" s="18">
        <f>WEEKDAY(Table1[[#This Row],[Date]],3)</f>
        <v>5</v>
      </c>
    </row>
    <row r="482" spans="1:9" x14ac:dyDescent="0.3">
      <c r="A482" s="1">
        <v>45363</v>
      </c>
      <c r="B482" t="s">
        <v>27</v>
      </c>
      <c r="C482" t="s">
        <v>24</v>
      </c>
      <c r="D482" t="s">
        <v>21</v>
      </c>
      <c r="E482" t="s">
        <v>16</v>
      </c>
      <c r="F482">
        <v>13</v>
      </c>
      <c r="G482" s="3">
        <v>894.92</v>
      </c>
      <c r="H482" s="4">
        <v>11633.96</v>
      </c>
      <c r="I482" s="18">
        <f>WEEKDAY(Table1[[#This Row],[Date]],3)</f>
        <v>1</v>
      </c>
    </row>
    <row r="483" spans="1:9" x14ac:dyDescent="0.3">
      <c r="A483" s="1">
        <v>45336</v>
      </c>
      <c r="B483" t="s">
        <v>27</v>
      </c>
      <c r="C483" t="s">
        <v>13</v>
      </c>
      <c r="D483" t="s">
        <v>15</v>
      </c>
      <c r="E483" t="s">
        <v>22</v>
      </c>
      <c r="F483">
        <v>8</v>
      </c>
      <c r="G483" s="3">
        <v>614.21</v>
      </c>
      <c r="H483" s="4">
        <v>4913.68</v>
      </c>
      <c r="I483" s="18">
        <f>WEEKDAY(Table1[[#This Row],[Date]],3)</f>
        <v>2</v>
      </c>
    </row>
    <row r="484" spans="1:9" x14ac:dyDescent="0.3">
      <c r="A484" s="1">
        <v>45453</v>
      </c>
      <c r="B484" t="s">
        <v>12</v>
      </c>
      <c r="C484" t="s">
        <v>24</v>
      </c>
      <c r="D484" t="s">
        <v>21</v>
      </c>
      <c r="E484" t="s">
        <v>22</v>
      </c>
      <c r="F484">
        <v>2</v>
      </c>
      <c r="G484" s="3">
        <v>1013.46</v>
      </c>
      <c r="H484" s="4">
        <v>2026.92</v>
      </c>
      <c r="I484" s="18">
        <f>WEEKDAY(Table1[[#This Row],[Date]],3)</f>
        <v>0</v>
      </c>
    </row>
    <row r="485" spans="1:9" x14ac:dyDescent="0.3">
      <c r="A485" s="1">
        <v>45475</v>
      </c>
      <c r="B485" t="s">
        <v>17</v>
      </c>
      <c r="C485" t="s">
        <v>13</v>
      </c>
      <c r="D485" t="s">
        <v>10</v>
      </c>
      <c r="E485" t="s">
        <v>11</v>
      </c>
      <c r="F485">
        <v>7</v>
      </c>
      <c r="G485" s="3">
        <v>2464.66</v>
      </c>
      <c r="H485" s="4">
        <v>17252.62</v>
      </c>
      <c r="I485" s="18">
        <f>WEEKDAY(Table1[[#This Row],[Date]],3)</f>
        <v>1</v>
      </c>
    </row>
    <row r="486" spans="1:9" x14ac:dyDescent="0.3">
      <c r="A486" s="1">
        <v>45612</v>
      </c>
      <c r="B486" t="s">
        <v>25</v>
      </c>
      <c r="C486" t="s">
        <v>9</v>
      </c>
      <c r="D486" t="s">
        <v>15</v>
      </c>
      <c r="E486" t="s">
        <v>16</v>
      </c>
      <c r="F486">
        <v>13</v>
      </c>
      <c r="G486" s="3">
        <v>15931.44</v>
      </c>
      <c r="H486" s="4">
        <v>207108.72</v>
      </c>
      <c r="I486" s="18">
        <f>WEEKDAY(Table1[[#This Row],[Date]],3)</f>
        <v>5</v>
      </c>
    </row>
    <row r="487" spans="1:9" x14ac:dyDescent="0.3">
      <c r="A487" s="1">
        <v>45344</v>
      </c>
      <c r="B487" t="s">
        <v>27</v>
      </c>
      <c r="C487" t="s">
        <v>9</v>
      </c>
      <c r="D487" t="s">
        <v>18</v>
      </c>
      <c r="E487" t="s">
        <v>26</v>
      </c>
      <c r="F487">
        <v>10</v>
      </c>
      <c r="G487" s="3">
        <v>841.22</v>
      </c>
      <c r="H487" s="4">
        <v>8412.2000000000007</v>
      </c>
      <c r="I487" s="18">
        <f>WEEKDAY(Table1[[#This Row],[Date]],3)</f>
        <v>3</v>
      </c>
    </row>
    <row r="488" spans="1:9" x14ac:dyDescent="0.3">
      <c r="A488" s="1">
        <v>45345</v>
      </c>
      <c r="B488" t="s">
        <v>8</v>
      </c>
      <c r="C488" t="s">
        <v>24</v>
      </c>
      <c r="D488" t="s">
        <v>15</v>
      </c>
      <c r="E488" t="s">
        <v>22</v>
      </c>
      <c r="F488">
        <v>14</v>
      </c>
      <c r="G488" s="3">
        <v>1432.23</v>
      </c>
      <c r="H488" s="4">
        <v>20051.22</v>
      </c>
      <c r="I488" s="18">
        <f>WEEKDAY(Table1[[#This Row],[Date]],3)</f>
        <v>4</v>
      </c>
    </row>
    <row r="489" spans="1:9" x14ac:dyDescent="0.3">
      <c r="A489" s="1">
        <v>45626</v>
      </c>
      <c r="B489" t="s">
        <v>29</v>
      </c>
      <c r="C489" t="s">
        <v>24</v>
      </c>
      <c r="D489" t="s">
        <v>10</v>
      </c>
      <c r="E489" t="s">
        <v>19</v>
      </c>
      <c r="F489">
        <v>13</v>
      </c>
      <c r="G489" s="3">
        <v>4375.26</v>
      </c>
      <c r="H489" s="4">
        <v>56878.38</v>
      </c>
      <c r="I489" s="18">
        <f>WEEKDAY(Table1[[#This Row],[Date]],3)</f>
        <v>5</v>
      </c>
    </row>
    <row r="490" spans="1:9" x14ac:dyDescent="0.3">
      <c r="A490" s="1">
        <v>45555</v>
      </c>
      <c r="B490" t="s">
        <v>17</v>
      </c>
      <c r="C490" t="s">
        <v>13</v>
      </c>
      <c r="D490" t="s">
        <v>10</v>
      </c>
      <c r="E490" t="s">
        <v>22</v>
      </c>
      <c r="F490">
        <v>18</v>
      </c>
      <c r="G490" s="3">
        <v>2985.67</v>
      </c>
      <c r="H490" s="4">
        <v>53742.06</v>
      </c>
      <c r="I490" s="18">
        <f>WEEKDAY(Table1[[#This Row],[Date]],3)</f>
        <v>4</v>
      </c>
    </row>
    <row r="491" spans="1:9" x14ac:dyDescent="0.3">
      <c r="A491" s="1">
        <v>45418</v>
      </c>
      <c r="B491" t="s">
        <v>20</v>
      </c>
      <c r="C491" t="s">
        <v>9</v>
      </c>
      <c r="D491" t="s">
        <v>10</v>
      </c>
      <c r="E491" t="s">
        <v>26</v>
      </c>
      <c r="F491">
        <v>17</v>
      </c>
      <c r="G491" s="3">
        <v>5033.3900000000003</v>
      </c>
      <c r="H491" s="4">
        <v>85567.63</v>
      </c>
      <c r="I491" s="18">
        <f>WEEKDAY(Table1[[#This Row],[Date]],3)</f>
        <v>0</v>
      </c>
    </row>
    <row r="492" spans="1:9" x14ac:dyDescent="0.3">
      <c r="A492" s="1">
        <v>45445</v>
      </c>
      <c r="B492" t="s">
        <v>17</v>
      </c>
      <c r="C492" t="s">
        <v>24</v>
      </c>
      <c r="D492" t="s">
        <v>15</v>
      </c>
      <c r="E492" t="s">
        <v>26</v>
      </c>
      <c r="F492">
        <v>18</v>
      </c>
      <c r="G492" s="3">
        <v>2450.4499999999998</v>
      </c>
      <c r="H492" s="4">
        <v>44108.1</v>
      </c>
      <c r="I492" s="18">
        <f>WEEKDAY(Table1[[#This Row],[Date]],3)</f>
        <v>6</v>
      </c>
    </row>
    <row r="493" spans="1:9" x14ac:dyDescent="0.3">
      <c r="A493" s="1">
        <v>45616</v>
      </c>
      <c r="B493" t="s">
        <v>20</v>
      </c>
      <c r="C493" t="s">
        <v>9</v>
      </c>
      <c r="D493" t="s">
        <v>21</v>
      </c>
      <c r="E493" t="s">
        <v>11</v>
      </c>
      <c r="F493">
        <v>1</v>
      </c>
      <c r="G493" s="3">
        <v>3889.79</v>
      </c>
      <c r="H493" s="4">
        <v>3889.79</v>
      </c>
      <c r="I493" s="18">
        <f>WEEKDAY(Table1[[#This Row],[Date]],3)</f>
        <v>2</v>
      </c>
    </row>
    <row r="494" spans="1:9" x14ac:dyDescent="0.3">
      <c r="A494" s="1">
        <v>45428</v>
      </c>
      <c r="B494" t="s">
        <v>17</v>
      </c>
      <c r="C494" t="s">
        <v>24</v>
      </c>
      <c r="D494" t="s">
        <v>10</v>
      </c>
      <c r="E494" t="s">
        <v>11</v>
      </c>
      <c r="F494">
        <v>13</v>
      </c>
      <c r="G494" s="3">
        <v>2383.58</v>
      </c>
      <c r="H494" s="4">
        <v>30986.54</v>
      </c>
      <c r="I494" s="18">
        <f>WEEKDAY(Table1[[#This Row],[Date]],3)</f>
        <v>3</v>
      </c>
    </row>
    <row r="495" spans="1:9" x14ac:dyDescent="0.3">
      <c r="A495" s="1">
        <v>45489</v>
      </c>
      <c r="B495" t="s">
        <v>14</v>
      </c>
      <c r="C495" t="s">
        <v>13</v>
      </c>
      <c r="D495" t="s">
        <v>18</v>
      </c>
      <c r="E495" t="s">
        <v>26</v>
      </c>
      <c r="F495">
        <v>1</v>
      </c>
      <c r="G495" s="3">
        <v>754.86</v>
      </c>
      <c r="H495" s="4">
        <v>754.86</v>
      </c>
      <c r="I495" s="18">
        <f>WEEKDAY(Table1[[#This Row],[Date]],3)</f>
        <v>1</v>
      </c>
    </row>
    <row r="496" spans="1:9" x14ac:dyDescent="0.3">
      <c r="A496" s="1">
        <v>45508</v>
      </c>
      <c r="B496" t="s">
        <v>14</v>
      </c>
      <c r="C496" t="s">
        <v>13</v>
      </c>
      <c r="D496" t="s">
        <v>15</v>
      </c>
      <c r="E496" t="s">
        <v>16</v>
      </c>
      <c r="F496">
        <v>11</v>
      </c>
      <c r="G496" s="3">
        <v>659.9</v>
      </c>
      <c r="H496" s="4">
        <v>7258.9</v>
      </c>
      <c r="I496" s="18">
        <f>WEEKDAY(Table1[[#This Row],[Date]],3)</f>
        <v>6</v>
      </c>
    </row>
    <row r="497" spans="1:9" x14ac:dyDescent="0.3">
      <c r="A497" s="1">
        <v>45315</v>
      </c>
      <c r="B497" t="s">
        <v>25</v>
      </c>
      <c r="C497" t="s">
        <v>13</v>
      </c>
      <c r="D497" t="s">
        <v>18</v>
      </c>
      <c r="E497" t="s">
        <v>26</v>
      </c>
      <c r="F497">
        <v>19</v>
      </c>
      <c r="G497" s="3">
        <v>16209.06</v>
      </c>
      <c r="H497" s="4">
        <v>307972.14</v>
      </c>
      <c r="I497" s="18">
        <f>WEEKDAY(Table1[[#This Row],[Date]],3)</f>
        <v>2</v>
      </c>
    </row>
    <row r="498" spans="1:9" x14ac:dyDescent="0.3">
      <c r="A498" s="1">
        <v>45584</v>
      </c>
      <c r="B498" t="s">
        <v>12</v>
      </c>
      <c r="C498" t="s">
        <v>9</v>
      </c>
      <c r="D498" t="s">
        <v>18</v>
      </c>
      <c r="E498" t="s">
        <v>19</v>
      </c>
      <c r="F498">
        <v>9</v>
      </c>
      <c r="G498" s="3">
        <v>887.02</v>
      </c>
      <c r="H498" s="4">
        <v>7983.18</v>
      </c>
      <c r="I498" s="18">
        <f>WEEKDAY(Table1[[#This Row],[Date]],3)</f>
        <v>5</v>
      </c>
    </row>
    <row r="499" spans="1:9" x14ac:dyDescent="0.3">
      <c r="A499" s="1">
        <v>45437</v>
      </c>
      <c r="B499" t="s">
        <v>27</v>
      </c>
      <c r="C499" t="s">
        <v>9</v>
      </c>
      <c r="D499" t="s">
        <v>21</v>
      </c>
      <c r="E499" t="s">
        <v>26</v>
      </c>
      <c r="F499">
        <v>13</v>
      </c>
      <c r="G499" s="3">
        <v>759.92</v>
      </c>
      <c r="H499" s="4">
        <v>9878.9599999999991</v>
      </c>
      <c r="I499" s="18">
        <f>WEEKDAY(Table1[[#This Row],[Date]],3)</f>
        <v>5</v>
      </c>
    </row>
    <row r="500" spans="1:9" x14ac:dyDescent="0.3">
      <c r="A500" s="1">
        <v>45391</v>
      </c>
      <c r="B500" t="s">
        <v>17</v>
      </c>
      <c r="C500" t="s">
        <v>9</v>
      </c>
      <c r="D500" t="s">
        <v>18</v>
      </c>
      <c r="E500" t="s">
        <v>11</v>
      </c>
      <c r="F500">
        <v>1</v>
      </c>
      <c r="G500" s="3">
        <v>2944.36</v>
      </c>
      <c r="H500" s="4">
        <v>2944.36</v>
      </c>
      <c r="I500" s="18">
        <f>WEEKDAY(Table1[[#This Row],[Date]],3)</f>
        <v>1</v>
      </c>
    </row>
    <row r="501" spans="1:9" x14ac:dyDescent="0.3">
      <c r="A501" s="1">
        <v>45634</v>
      </c>
      <c r="B501" t="s">
        <v>17</v>
      </c>
      <c r="C501" t="s">
        <v>9</v>
      </c>
      <c r="D501" t="s">
        <v>21</v>
      </c>
      <c r="E501" t="s">
        <v>19</v>
      </c>
      <c r="F501">
        <v>18</v>
      </c>
      <c r="G501" s="3">
        <v>2855.64</v>
      </c>
      <c r="H501" s="4">
        <v>51401.52</v>
      </c>
      <c r="I501" s="18">
        <f>WEEKDAY(Table1[[#This Row],[Date]],3)</f>
        <v>6</v>
      </c>
    </row>
    <row r="502" spans="1:9" x14ac:dyDescent="0.3">
      <c r="A502" s="1">
        <v>45617</v>
      </c>
      <c r="B502" t="s">
        <v>28</v>
      </c>
      <c r="C502" t="s">
        <v>24</v>
      </c>
      <c r="D502" t="s">
        <v>15</v>
      </c>
      <c r="E502" t="s">
        <v>26</v>
      </c>
      <c r="F502">
        <v>4</v>
      </c>
      <c r="G502" s="3">
        <v>751.2</v>
      </c>
      <c r="H502" s="4">
        <v>3004.8</v>
      </c>
      <c r="I502" s="18">
        <f>WEEKDAY(Table1[[#This Row],[Date]],3)</f>
        <v>3</v>
      </c>
    </row>
    <row r="503" spans="1:9" x14ac:dyDescent="0.3">
      <c r="A503" s="1">
        <v>45526</v>
      </c>
      <c r="B503" t="s">
        <v>27</v>
      </c>
      <c r="C503" t="s">
        <v>9</v>
      </c>
      <c r="D503" t="s">
        <v>18</v>
      </c>
      <c r="E503" t="s">
        <v>26</v>
      </c>
      <c r="F503">
        <v>10</v>
      </c>
      <c r="G503" s="3">
        <v>821.03</v>
      </c>
      <c r="H503" s="4">
        <v>8210.2999999999993</v>
      </c>
      <c r="I503" s="18">
        <f>WEEKDAY(Table1[[#This Row],[Date]],3)</f>
        <v>3</v>
      </c>
    </row>
    <row r="504" spans="1:9" x14ac:dyDescent="0.3">
      <c r="A504" s="1">
        <v>45594</v>
      </c>
      <c r="B504" t="s">
        <v>28</v>
      </c>
      <c r="C504" t="s">
        <v>24</v>
      </c>
      <c r="D504" t="s">
        <v>15</v>
      </c>
      <c r="E504" t="s">
        <v>16</v>
      </c>
      <c r="F504">
        <v>5</v>
      </c>
      <c r="G504" s="3">
        <v>1246.6400000000001</v>
      </c>
      <c r="H504" s="4">
        <v>6233.2</v>
      </c>
      <c r="I504" s="18">
        <f>WEEKDAY(Table1[[#This Row],[Date]],3)</f>
        <v>1</v>
      </c>
    </row>
    <row r="505" spans="1:9" x14ac:dyDescent="0.3">
      <c r="A505" s="1">
        <v>45549</v>
      </c>
      <c r="B505" t="s">
        <v>29</v>
      </c>
      <c r="C505" t="s">
        <v>9</v>
      </c>
      <c r="D505" t="s">
        <v>21</v>
      </c>
      <c r="E505" t="s">
        <v>22</v>
      </c>
      <c r="F505">
        <v>3</v>
      </c>
      <c r="G505" s="3">
        <v>3485.02</v>
      </c>
      <c r="H505" s="4">
        <v>10455.06</v>
      </c>
      <c r="I505" s="18">
        <f>WEEKDAY(Table1[[#This Row],[Date]],3)</f>
        <v>5</v>
      </c>
    </row>
    <row r="506" spans="1:9" x14ac:dyDescent="0.3">
      <c r="A506" s="1">
        <v>45402</v>
      </c>
      <c r="B506" t="s">
        <v>29</v>
      </c>
      <c r="C506" t="s">
        <v>9</v>
      </c>
      <c r="D506" t="s">
        <v>21</v>
      </c>
      <c r="E506" t="s">
        <v>19</v>
      </c>
      <c r="F506">
        <v>11</v>
      </c>
      <c r="G506" s="3">
        <v>4293.0600000000004</v>
      </c>
      <c r="H506" s="4">
        <v>47223.66</v>
      </c>
      <c r="I506" s="18">
        <f>WEEKDAY(Table1[[#This Row],[Date]],3)</f>
        <v>5</v>
      </c>
    </row>
    <row r="507" spans="1:9" x14ac:dyDescent="0.3">
      <c r="A507" s="1">
        <v>45479</v>
      </c>
      <c r="B507" t="s">
        <v>12</v>
      </c>
      <c r="C507" t="s">
        <v>24</v>
      </c>
      <c r="D507" t="s">
        <v>18</v>
      </c>
      <c r="E507" t="s">
        <v>19</v>
      </c>
      <c r="F507">
        <v>16</v>
      </c>
      <c r="G507" s="3">
        <v>1047.3800000000001</v>
      </c>
      <c r="H507" s="4">
        <v>16758.080000000002</v>
      </c>
      <c r="I507" s="18">
        <f>WEEKDAY(Table1[[#This Row],[Date]],3)</f>
        <v>5</v>
      </c>
    </row>
    <row r="508" spans="1:9" x14ac:dyDescent="0.3">
      <c r="A508" s="1">
        <v>45395</v>
      </c>
      <c r="B508" t="s">
        <v>12</v>
      </c>
      <c r="C508" t="s">
        <v>13</v>
      </c>
      <c r="D508" t="s">
        <v>15</v>
      </c>
      <c r="E508" t="s">
        <v>16</v>
      </c>
      <c r="F508">
        <v>10</v>
      </c>
      <c r="G508" s="3">
        <v>1045.8900000000001</v>
      </c>
      <c r="H508" s="4">
        <v>10458.9</v>
      </c>
      <c r="I508" s="18">
        <f>WEEKDAY(Table1[[#This Row],[Date]],3)</f>
        <v>5</v>
      </c>
    </row>
    <row r="509" spans="1:9" x14ac:dyDescent="0.3">
      <c r="A509" s="1">
        <v>45513</v>
      </c>
      <c r="B509" t="s">
        <v>20</v>
      </c>
      <c r="C509" t="s">
        <v>24</v>
      </c>
      <c r="D509" t="s">
        <v>18</v>
      </c>
      <c r="E509" t="s">
        <v>16</v>
      </c>
      <c r="F509">
        <v>1</v>
      </c>
      <c r="G509" s="3">
        <v>5717.08</v>
      </c>
      <c r="H509" s="4">
        <v>5717.08</v>
      </c>
      <c r="I509" s="18">
        <f>WEEKDAY(Table1[[#This Row],[Date]],3)</f>
        <v>4</v>
      </c>
    </row>
    <row r="510" spans="1:9" x14ac:dyDescent="0.3">
      <c r="A510" s="1">
        <v>45298</v>
      </c>
      <c r="B510" t="s">
        <v>8</v>
      </c>
      <c r="C510" t="s">
        <v>9</v>
      </c>
      <c r="D510" t="s">
        <v>15</v>
      </c>
      <c r="E510" t="s">
        <v>19</v>
      </c>
      <c r="F510">
        <v>16</v>
      </c>
      <c r="G510" s="3">
        <v>1249.03</v>
      </c>
      <c r="H510" s="4">
        <v>19984.48</v>
      </c>
      <c r="I510" s="18">
        <f>WEEKDAY(Table1[[#This Row],[Date]],3)</f>
        <v>6</v>
      </c>
    </row>
    <row r="511" spans="1:9" x14ac:dyDescent="0.3">
      <c r="A511" s="1">
        <v>45426</v>
      </c>
      <c r="B511" t="s">
        <v>8</v>
      </c>
      <c r="C511" t="s">
        <v>13</v>
      </c>
      <c r="D511" t="s">
        <v>10</v>
      </c>
      <c r="E511" t="s">
        <v>26</v>
      </c>
      <c r="F511">
        <v>11</v>
      </c>
      <c r="G511" s="3">
        <v>1437.43</v>
      </c>
      <c r="H511" s="4">
        <v>15811.73</v>
      </c>
      <c r="I511" s="18">
        <f>WEEKDAY(Table1[[#This Row],[Date]],3)</f>
        <v>1</v>
      </c>
    </row>
    <row r="512" spans="1:9" x14ac:dyDescent="0.3">
      <c r="A512" s="1">
        <v>45508</v>
      </c>
      <c r="B512" t="s">
        <v>14</v>
      </c>
      <c r="C512" t="s">
        <v>9</v>
      </c>
      <c r="D512" t="s">
        <v>15</v>
      </c>
      <c r="E512" t="s">
        <v>11</v>
      </c>
      <c r="F512">
        <v>4</v>
      </c>
      <c r="G512" s="3">
        <v>743.8</v>
      </c>
      <c r="H512" s="4">
        <v>2975.2</v>
      </c>
      <c r="I512" s="18">
        <f>WEEKDAY(Table1[[#This Row],[Date]],3)</f>
        <v>6</v>
      </c>
    </row>
    <row r="513" spans="1:9" x14ac:dyDescent="0.3">
      <c r="A513" s="1">
        <v>45448</v>
      </c>
      <c r="B513" t="s">
        <v>17</v>
      </c>
      <c r="C513" t="s">
        <v>24</v>
      </c>
      <c r="D513" t="s">
        <v>21</v>
      </c>
      <c r="E513" t="s">
        <v>16</v>
      </c>
      <c r="F513">
        <v>15</v>
      </c>
      <c r="G513" s="3">
        <v>1839.57</v>
      </c>
      <c r="H513" s="4">
        <v>27593.55</v>
      </c>
      <c r="I513" s="18">
        <f>WEEKDAY(Table1[[#This Row],[Date]],3)</f>
        <v>2</v>
      </c>
    </row>
    <row r="514" spans="1:9" x14ac:dyDescent="0.3">
      <c r="A514" s="1">
        <v>45509</v>
      </c>
      <c r="B514" t="s">
        <v>8</v>
      </c>
      <c r="C514" t="s">
        <v>24</v>
      </c>
      <c r="D514" t="s">
        <v>21</v>
      </c>
      <c r="E514" t="s">
        <v>26</v>
      </c>
      <c r="F514">
        <v>5</v>
      </c>
      <c r="G514" s="3">
        <v>1222.1300000000001</v>
      </c>
      <c r="H514" s="4">
        <v>6110.65</v>
      </c>
      <c r="I514" s="18">
        <f>WEEKDAY(Table1[[#This Row],[Date]],3)</f>
        <v>0</v>
      </c>
    </row>
    <row r="515" spans="1:9" x14ac:dyDescent="0.3">
      <c r="A515" s="1">
        <v>45622</v>
      </c>
      <c r="B515" t="s">
        <v>29</v>
      </c>
      <c r="C515" t="s">
        <v>9</v>
      </c>
      <c r="D515" t="s">
        <v>18</v>
      </c>
      <c r="E515" t="s">
        <v>11</v>
      </c>
      <c r="F515">
        <v>12</v>
      </c>
      <c r="G515" s="3">
        <v>3751.44</v>
      </c>
      <c r="H515" s="4">
        <v>45017.279999999999</v>
      </c>
      <c r="I515" s="18">
        <f>WEEKDAY(Table1[[#This Row],[Date]],3)</f>
        <v>1</v>
      </c>
    </row>
    <row r="516" spans="1:9" x14ac:dyDescent="0.3">
      <c r="A516" s="1">
        <v>45317</v>
      </c>
      <c r="B516" t="s">
        <v>20</v>
      </c>
      <c r="C516" t="s">
        <v>24</v>
      </c>
      <c r="D516" t="s">
        <v>10</v>
      </c>
      <c r="E516" t="s">
        <v>16</v>
      </c>
      <c r="F516">
        <v>19</v>
      </c>
      <c r="G516" s="3">
        <v>3940.89</v>
      </c>
      <c r="H516" s="4">
        <v>74876.91</v>
      </c>
      <c r="I516" s="18">
        <f>WEEKDAY(Table1[[#This Row],[Date]],3)</f>
        <v>4</v>
      </c>
    </row>
    <row r="517" spans="1:9" x14ac:dyDescent="0.3">
      <c r="A517" s="1">
        <v>45472</v>
      </c>
      <c r="B517" t="s">
        <v>14</v>
      </c>
      <c r="C517" t="s">
        <v>13</v>
      </c>
      <c r="D517" t="s">
        <v>10</v>
      </c>
      <c r="E517" t="s">
        <v>19</v>
      </c>
      <c r="F517">
        <v>11</v>
      </c>
      <c r="G517" s="3">
        <v>513.57000000000005</v>
      </c>
      <c r="H517" s="4">
        <v>5649.27</v>
      </c>
      <c r="I517" s="18">
        <f>WEEKDAY(Table1[[#This Row],[Date]],3)</f>
        <v>5</v>
      </c>
    </row>
    <row r="518" spans="1:9" x14ac:dyDescent="0.3">
      <c r="A518" s="1">
        <v>45340</v>
      </c>
      <c r="B518" t="s">
        <v>8</v>
      </c>
      <c r="C518" t="s">
        <v>24</v>
      </c>
      <c r="D518" t="s">
        <v>21</v>
      </c>
      <c r="E518" t="s">
        <v>19</v>
      </c>
      <c r="F518">
        <v>15</v>
      </c>
      <c r="G518" s="3">
        <v>883.65</v>
      </c>
      <c r="H518" s="4">
        <v>13254.75</v>
      </c>
      <c r="I518" s="18">
        <f>WEEKDAY(Table1[[#This Row],[Date]],3)</f>
        <v>6</v>
      </c>
    </row>
    <row r="519" spans="1:9" x14ac:dyDescent="0.3">
      <c r="A519" s="1">
        <v>45465</v>
      </c>
      <c r="B519" t="s">
        <v>17</v>
      </c>
      <c r="C519" t="s">
        <v>24</v>
      </c>
      <c r="D519" t="s">
        <v>18</v>
      </c>
      <c r="E519" t="s">
        <v>22</v>
      </c>
      <c r="F519">
        <v>5</v>
      </c>
      <c r="G519" s="3">
        <v>2495.9699999999998</v>
      </c>
      <c r="H519" s="4">
        <v>12479.85</v>
      </c>
      <c r="I519" s="18">
        <f>WEEKDAY(Table1[[#This Row],[Date]],3)</f>
        <v>5</v>
      </c>
    </row>
    <row r="520" spans="1:9" x14ac:dyDescent="0.3">
      <c r="A520" s="1">
        <v>45652</v>
      </c>
      <c r="B520" t="s">
        <v>14</v>
      </c>
      <c r="C520" t="s">
        <v>24</v>
      </c>
      <c r="D520" t="s">
        <v>18</v>
      </c>
      <c r="E520" t="s">
        <v>22</v>
      </c>
      <c r="F520">
        <v>6</v>
      </c>
      <c r="G520" s="3">
        <v>610.67999999999995</v>
      </c>
      <c r="H520" s="4">
        <v>3664.08</v>
      </c>
      <c r="I520" s="18">
        <f>WEEKDAY(Table1[[#This Row],[Date]],3)</f>
        <v>3</v>
      </c>
    </row>
    <row r="521" spans="1:9" x14ac:dyDescent="0.3">
      <c r="A521" s="1">
        <v>45306</v>
      </c>
      <c r="B521" t="s">
        <v>12</v>
      </c>
      <c r="C521" t="s">
        <v>9</v>
      </c>
      <c r="D521" t="s">
        <v>15</v>
      </c>
      <c r="E521" t="s">
        <v>16</v>
      </c>
      <c r="F521">
        <v>6</v>
      </c>
      <c r="G521" s="3">
        <v>778.34</v>
      </c>
      <c r="H521" s="4">
        <v>4670.04</v>
      </c>
      <c r="I521" s="18">
        <f>WEEKDAY(Table1[[#This Row],[Date]],3)</f>
        <v>0</v>
      </c>
    </row>
    <row r="522" spans="1:9" x14ac:dyDescent="0.3">
      <c r="A522" s="1">
        <v>45377</v>
      </c>
      <c r="B522" t="s">
        <v>17</v>
      </c>
      <c r="C522" t="s">
        <v>24</v>
      </c>
      <c r="D522" t="s">
        <v>15</v>
      </c>
      <c r="E522" t="s">
        <v>16</v>
      </c>
      <c r="F522">
        <v>3</v>
      </c>
      <c r="G522" s="3">
        <v>1998.62</v>
      </c>
      <c r="H522" s="4">
        <v>5995.86</v>
      </c>
      <c r="I522" s="18">
        <f>WEEKDAY(Table1[[#This Row],[Date]],3)</f>
        <v>1</v>
      </c>
    </row>
    <row r="523" spans="1:9" x14ac:dyDescent="0.3">
      <c r="A523" s="1">
        <v>45384</v>
      </c>
      <c r="B523" t="s">
        <v>14</v>
      </c>
      <c r="C523" t="s">
        <v>9</v>
      </c>
      <c r="D523" t="s">
        <v>10</v>
      </c>
      <c r="E523" t="s">
        <v>19</v>
      </c>
      <c r="F523">
        <v>1</v>
      </c>
      <c r="G523" s="3">
        <v>469.32</v>
      </c>
      <c r="H523" s="4">
        <v>469.32</v>
      </c>
      <c r="I523" s="18">
        <f>WEEKDAY(Table1[[#This Row],[Date]],3)</f>
        <v>1</v>
      </c>
    </row>
    <row r="524" spans="1:9" x14ac:dyDescent="0.3">
      <c r="A524" s="1">
        <v>45622</v>
      </c>
      <c r="B524" t="s">
        <v>17</v>
      </c>
      <c r="C524" t="s">
        <v>13</v>
      </c>
      <c r="D524" t="s">
        <v>10</v>
      </c>
      <c r="E524" t="s">
        <v>19</v>
      </c>
      <c r="F524">
        <v>12</v>
      </c>
      <c r="G524" s="3">
        <v>3190.94</v>
      </c>
      <c r="H524" s="4">
        <v>38291.279999999999</v>
      </c>
      <c r="I524" s="18">
        <f>WEEKDAY(Table1[[#This Row],[Date]],3)</f>
        <v>1</v>
      </c>
    </row>
    <row r="525" spans="1:9" x14ac:dyDescent="0.3">
      <c r="A525" s="1">
        <v>45563</v>
      </c>
      <c r="B525" t="s">
        <v>8</v>
      </c>
      <c r="C525" t="s">
        <v>13</v>
      </c>
      <c r="D525" t="s">
        <v>21</v>
      </c>
      <c r="E525" t="s">
        <v>11</v>
      </c>
      <c r="F525">
        <v>12</v>
      </c>
      <c r="G525" s="3">
        <v>1026.8699999999999</v>
      </c>
      <c r="H525" s="4">
        <v>12322.44</v>
      </c>
      <c r="I525" s="18">
        <f>WEEKDAY(Table1[[#This Row],[Date]],3)</f>
        <v>5</v>
      </c>
    </row>
    <row r="526" spans="1:9" x14ac:dyDescent="0.3">
      <c r="A526" s="1">
        <v>45380</v>
      </c>
      <c r="B526" t="s">
        <v>17</v>
      </c>
      <c r="C526" t="s">
        <v>13</v>
      </c>
      <c r="D526" t="s">
        <v>10</v>
      </c>
      <c r="E526" t="s">
        <v>22</v>
      </c>
      <c r="F526">
        <v>6</v>
      </c>
      <c r="G526" s="3">
        <v>2035.16</v>
      </c>
      <c r="H526" s="4">
        <v>12210.96</v>
      </c>
      <c r="I526" s="18">
        <f>WEEKDAY(Table1[[#This Row],[Date]],3)</f>
        <v>4</v>
      </c>
    </row>
    <row r="527" spans="1:9" x14ac:dyDescent="0.3">
      <c r="A527" s="1">
        <v>45576</v>
      </c>
      <c r="B527" t="s">
        <v>17</v>
      </c>
      <c r="C527" t="s">
        <v>9</v>
      </c>
      <c r="D527" t="s">
        <v>10</v>
      </c>
      <c r="E527" t="s">
        <v>11</v>
      </c>
      <c r="F527">
        <v>16</v>
      </c>
      <c r="G527" s="3">
        <v>3215.96</v>
      </c>
      <c r="H527" s="4">
        <v>51455.360000000001</v>
      </c>
      <c r="I527" s="18">
        <f>WEEKDAY(Table1[[#This Row],[Date]],3)</f>
        <v>4</v>
      </c>
    </row>
    <row r="528" spans="1:9" x14ac:dyDescent="0.3">
      <c r="A528" s="1">
        <v>45538</v>
      </c>
      <c r="B528" t="s">
        <v>14</v>
      </c>
      <c r="C528" t="s">
        <v>9</v>
      </c>
      <c r="D528" t="s">
        <v>15</v>
      </c>
      <c r="E528" t="s">
        <v>19</v>
      </c>
      <c r="F528">
        <v>15</v>
      </c>
      <c r="G528" s="3">
        <v>503.53</v>
      </c>
      <c r="H528" s="4">
        <v>7552.95</v>
      </c>
      <c r="I528" s="18">
        <f>WEEKDAY(Table1[[#This Row],[Date]],3)</f>
        <v>1</v>
      </c>
    </row>
    <row r="529" spans="1:9" x14ac:dyDescent="0.3">
      <c r="A529" s="1">
        <v>45330</v>
      </c>
      <c r="B529" t="s">
        <v>25</v>
      </c>
      <c r="C529" t="s">
        <v>13</v>
      </c>
      <c r="D529" t="s">
        <v>21</v>
      </c>
      <c r="E529" t="s">
        <v>22</v>
      </c>
      <c r="F529">
        <v>12</v>
      </c>
      <c r="G529" s="3">
        <v>10608.93</v>
      </c>
      <c r="H529" s="4">
        <v>127307.16</v>
      </c>
      <c r="I529" s="18">
        <f>WEEKDAY(Table1[[#This Row],[Date]],3)</f>
        <v>3</v>
      </c>
    </row>
    <row r="530" spans="1:9" x14ac:dyDescent="0.3">
      <c r="A530" s="1">
        <v>45365</v>
      </c>
      <c r="B530" t="s">
        <v>8</v>
      </c>
      <c r="C530" t="s">
        <v>9</v>
      </c>
      <c r="D530" t="s">
        <v>21</v>
      </c>
      <c r="E530" t="s">
        <v>19</v>
      </c>
      <c r="F530">
        <v>10</v>
      </c>
      <c r="G530" s="3">
        <v>1419.42</v>
      </c>
      <c r="H530" s="4">
        <v>14194.2</v>
      </c>
      <c r="I530" s="18">
        <f>WEEKDAY(Table1[[#This Row],[Date]],3)</f>
        <v>3</v>
      </c>
    </row>
    <row r="531" spans="1:9" x14ac:dyDescent="0.3">
      <c r="A531" s="1">
        <v>45507</v>
      </c>
      <c r="B531" t="s">
        <v>12</v>
      </c>
      <c r="C531" t="s">
        <v>24</v>
      </c>
      <c r="D531" t="s">
        <v>10</v>
      </c>
      <c r="E531" t="s">
        <v>11</v>
      </c>
      <c r="F531">
        <v>5</v>
      </c>
      <c r="G531" s="3">
        <v>762.74</v>
      </c>
      <c r="H531" s="4">
        <v>3813.7</v>
      </c>
      <c r="I531" s="18">
        <f>WEEKDAY(Table1[[#This Row],[Date]],3)</f>
        <v>5</v>
      </c>
    </row>
    <row r="532" spans="1:9" x14ac:dyDescent="0.3">
      <c r="A532" s="1">
        <v>45640</v>
      </c>
      <c r="B532" t="s">
        <v>27</v>
      </c>
      <c r="C532" t="s">
        <v>9</v>
      </c>
      <c r="D532" t="s">
        <v>18</v>
      </c>
      <c r="E532" t="s">
        <v>22</v>
      </c>
      <c r="F532">
        <v>4</v>
      </c>
      <c r="G532" s="3">
        <v>698.66</v>
      </c>
      <c r="H532" s="4">
        <v>2794.64</v>
      </c>
      <c r="I532" s="18">
        <f>WEEKDAY(Table1[[#This Row],[Date]],3)</f>
        <v>5</v>
      </c>
    </row>
    <row r="533" spans="1:9" x14ac:dyDescent="0.3">
      <c r="A533" s="1">
        <v>45539</v>
      </c>
      <c r="B533" t="s">
        <v>23</v>
      </c>
      <c r="C533" t="s">
        <v>13</v>
      </c>
      <c r="D533" t="s">
        <v>15</v>
      </c>
      <c r="E533" t="s">
        <v>11</v>
      </c>
      <c r="F533">
        <v>1</v>
      </c>
      <c r="G533" s="3">
        <v>1090.42</v>
      </c>
      <c r="H533" s="4">
        <v>1090.42</v>
      </c>
      <c r="I533" s="18">
        <f>WEEKDAY(Table1[[#This Row],[Date]],3)</f>
        <v>2</v>
      </c>
    </row>
    <row r="534" spans="1:9" x14ac:dyDescent="0.3">
      <c r="A534" s="1">
        <v>45384</v>
      </c>
      <c r="B534" t="s">
        <v>23</v>
      </c>
      <c r="C534" t="s">
        <v>9</v>
      </c>
      <c r="D534" t="s">
        <v>10</v>
      </c>
      <c r="E534" t="s">
        <v>19</v>
      </c>
      <c r="F534">
        <v>3</v>
      </c>
      <c r="G534" s="3">
        <v>1101.93</v>
      </c>
      <c r="H534" s="4">
        <v>3305.79</v>
      </c>
      <c r="I534" s="18">
        <f>WEEKDAY(Table1[[#This Row],[Date]],3)</f>
        <v>1</v>
      </c>
    </row>
    <row r="535" spans="1:9" x14ac:dyDescent="0.3">
      <c r="A535" s="1">
        <v>45650</v>
      </c>
      <c r="B535" t="s">
        <v>12</v>
      </c>
      <c r="C535" t="s">
        <v>24</v>
      </c>
      <c r="D535" t="s">
        <v>18</v>
      </c>
      <c r="E535" t="s">
        <v>22</v>
      </c>
      <c r="F535">
        <v>13</v>
      </c>
      <c r="G535" s="3">
        <v>765.54</v>
      </c>
      <c r="H535" s="4">
        <v>9952.02</v>
      </c>
      <c r="I535" s="18">
        <f>WEEKDAY(Table1[[#This Row],[Date]],3)</f>
        <v>1</v>
      </c>
    </row>
    <row r="536" spans="1:9" x14ac:dyDescent="0.3">
      <c r="A536" s="1">
        <v>45472</v>
      </c>
      <c r="B536" t="s">
        <v>17</v>
      </c>
      <c r="C536" t="s">
        <v>9</v>
      </c>
      <c r="D536" t="s">
        <v>15</v>
      </c>
      <c r="E536" t="s">
        <v>26</v>
      </c>
      <c r="F536">
        <v>13</v>
      </c>
      <c r="G536" s="3">
        <v>3211.56</v>
      </c>
      <c r="H536" s="4">
        <v>41750.28</v>
      </c>
      <c r="I536" s="18">
        <f>WEEKDAY(Table1[[#This Row],[Date]],3)</f>
        <v>5</v>
      </c>
    </row>
    <row r="537" spans="1:9" x14ac:dyDescent="0.3">
      <c r="A537" s="1">
        <v>45634</v>
      </c>
      <c r="B537" t="s">
        <v>12</v>
      </c>
      <c r="C537" t="s">
        <v>13</v>
      </c>
      <c r="D537" t="s">
        <v>10</v>
      </c>
      <c r="E537" t="s">
        <v>26</v>
      </c>
      <c r="F537">
        <v>9</v>
      </c>
      <c r="G537" s="3">
        <v>753.49</v>
      </c>
      <c r="H537" s="4">
        <v>6781.41</v>
      </c>
      <c r="I537" s="18">
        <f>WEEKDAY(Table1[[#This Row],[Date]],3)</f>
        <v>6</v>
      </c>
    </row>
    <row r="538" spans="1:9" x14ac:dyDescent="0.3">
      <c r="A538" s="1">
        <v>45484</v>
      </c>
      <c r="B538" t="s">
        <v>25</v>
      </c>
      <c r="C538" t="s">
        <v>24</v>
      </c>
      <c r="D538" t="s">
        <v>15</v>
      </c>
      <c r="E538" t="s">
        <v>16</v>
      </c>
      <c r="F538">
        <v>9</v>
      </c>
      <c r="G538" s="3">
        <v>19054.13</v>
      </c>
      <c r="H538" s="4">
        <v>171487.17</v>
      </c>
      <c r="I538" s="18">
        <f>WEEKDAY(Table1[[#This Row],[Date]],3)</f>
        <v>3</v>
      </c>
    </row>
    <row r="539" spans="1:9" x14ac:dyDescent="0.3">
      <c r="A539" s="1">
        <v>45488</v>
      </c>
      <c r="B539" t="s">
        <v>14</v>
      </c>
      <c r="C539" t="s">
        <v>13</v>
      </c>
      <c r="D539" t="s">
        <v>18</v>
      </c>
      <c r="E539" t="s">
        <v>11</v>
      </c>
      <c r="F539">
        <v>12</v>
      </c>
      <c r="G539" s="3">
        <v>693.16</v>
      </c>
      <c r="H539" s="4">
        <v>8317.92</v>
      </c>
      <c r="I539" s="18">
        <f>WEEKDAY(Table1[[#This Row],[Date]],3)</f>
        <v>0</v>
      </c>
    </row>
    <row r="540" spans="1:9" x14ac:dyDescent="0.3">
      <c r="A540" s="1">
        <v>45400</v>
      </c>
      <c r="B540" t="s">
        <v>23</v>
      </c>
      <c r="C540" t="s">
        <v>13</v>
      </c>
      <c r="D540" t="s">
        <v>10</v>
      </c>
      <c r="E540" t="s">
        <v>22</v>
      </c>
      <c r="F540">
        <v>8</v>
      </c>
      <c r="G540" s="3">
        <v>1410.85</v>
      </c>
      <c r="H540" s="4">
        <v>11286.8</v>
      </c>
      <c r="I540" s="18">
        <f>WEEKDAY(Table1[[#This Row],[Date]],3)</f>
        <v>3</v>
      </c>
    </row>
    <row r="541" spans="1:9" x14ac:dyDescent="0.3">
      <c r="A541" s="1">
        <v>45423</v>
      </c>
      <c r="B541" t="s">
        <v>23</v>
      </c>
      <c r="C541" t="s">
        <v>24</v>
      </c>
      <c r="D541" t="s">
        <v>21</v>
      </c>
      <c r="E541" t="s">
        <v>22</v>
      </c>
      <c r="F541">
        <v>13</v>
      </c>
      <c r="G541" s="3">
        <v>1582.02</v>
      </c>
      <c r="H541" s="4">
        <v>20566.259999999998</v>
      </c>
      <c r="I541" s="18">
        <f>WEEKDAY(Table1[[#This Row],[Date]],3)</f>
        <v>5</v>
      </c>
    </row>
    <row r="542" spans="1:9" x14ac:dyDescent="0.3">
      <c r="A542" s="1">
        <v>45332</v>
      </c>
      <c r="B542" t="s">
        <v>27</v>
      </c>
      <c r="C542" t="s">
        <v>13</v>
      </c>
      <c r="D542" t="s">
        <v>15</v>
      </c>
      <c r="E542" t="s">
        <v>19</v>
      </c>
      <c r="F542">
        <v>14</v>
      </c>
      <c r="G542" s="3">
        <v>594.16</v>
      </c>
      <c r="H542" s="4">
        <v>8318.24</v>
      </c>
      <c r="I542" s="18">
        <f>WEEKDAY(Table1[[#This Row],[Date]],3)</f>
        <v>5</v>
      </c>
    </row>
    <row r="543" spans="1:9" x14ac:dyDescent="0.3">
      <c r="A543" s="1">
        <v>45615</v>
      </c>
      <c r="B543" t="s">
        <v>12</v>
      </c>
      <c r="C543" t="s">
        <v>13</v>
      </c>
      <c r="D543" t="s">
        <v>10</v>
      </c>
      <c r="E543" t="s">
        <v>16</v>
      </c>
      <c r="F543">
        <v>1</v>
      </c>
      <c r="G543" s="3">
        <v>851.08</v>
      </c>
      <c r="H543" s="4">
        <v>851.08</v>
      </c>
      <c r="I543" s="18">
        <f>WEEKDAY(Table1[[#This Row],[Date]],3)</f>
        <v>1</v>
      </c>
    </row>
    <row r="544" spans="1:9" x14ac:dyDescent="0.3">
      <c r="A544" s="1">
        <v>45571</v>
      </c>
      <c r="B544" t="s">
        <v>14</v>
      </c>
      <c r="C544" t="s">
        <v>13</v>
      </c>
      <c r="D544" t="s">
        <v>18</v>
      </c>
      <c r="E544" t="s">
        <v>19</v>
      </c>
      <c r="F544">
        <v>2</v>
      </c>
      <c r="G544" s="3">
        <v>698.61</v>
      </c>
      <c r="H544" s="4">
        <v>1397.22</v>
      </c>
      <c r="I544" s="18">
        <f>WEEKDAY(Table1[[#This Row],[Date]],3)</f>
        <v>6</v>
      </c>
    </row>
    <row r="545" spans="1:9" x14ac:dyDescent="0.3">
      <c r="A545" s="1">
        <v>45315</v>
      </c>
      <c r="B545" t="s">
        <v>12</v>
      </c>
      <c r="C545" t="s">
        <v>13</v>
      </c>
      <c r="D545" t="s">
        <v>15</v>
      </c>
      <c r="E545" t="s">
        <v>26</v>
      </c>
      <c r="F545">
        <v>17</v>
      </c>
      <c r="G545" s="3">
        <v>921.11</v>
      </c>
      <c r="H545" s="4">
        <v>15658.87</v>
      </c>
      <c r="I545" s="18">
        <f>WEEKDAY(Table1[[#This Row],[Date]],3)</f>
        <v>2</v>
      </c>
    </row>
    <row r="546" spans="1:9" x14ac:dyDescent="0.3">
      <c r="A546" s="1">
        <v>45539</v>
      </c>
      <c r="B546" t="s">
        <v>8</v>
      </c>
      <c r="C546" t="s">
        <v>13</v>
      </c>
      <c r="D546" t="s">
        <v>18</v>
      </c>
      <c r="E546" t="s">
        <v>16</v>
      </c>
      <c r="F546">
        <v>9</v>
      </c>
      <c r="G546" s="3">
        <v>840.01</v>
      </c>
      <c r="H546" s="4">
        <v>7560.09</v>
      </c>
      <c r="I546" s="18">
        <f>WEEKDAY(Table1[[#This Row],[Date]],3)</f>
        <v>2</v>
      </c>
    </row>
    <row r="547" spans="1:9" x14ac:dyDescent="0.3">
      <c r="A547" s="1">
        <v>45540</v>
      </c>
      <c r="B547" t="s">
        <v>29</v>
      </c>
      <c r="C547" t="s">
        <v>24</v>
      </c>
      <c r="D547" t="s">
        <v>18</v>
      </c>
      <c r="E547" t="s">
        <v>26</v>
      </c>
      <c r="F547">
        <v>10</v>
      </c>
      <c r="G547" s="3">
        <v>2871.18</v>
      </c>
      <c r="H547" s="4">
        <v>28711.8</v>
      </c>
      <c r="I547" s="18">
        <f>WEEKDAY(Table1[[#This Row],[Date]],3)</f>
        <v>3</v>
      </c>
    </row>
    <row r="548" spans="1:9" x14ac:dyDescent="0.3">
      <c r="A548" s="1">
        <v>45394</v>
      </c>
      <c r="B548" t="s">
        <v>29</v>
      </c>
      <c r="C548" t="s">
        <v>9</v>
      </c>
      <c r="D548" t="s">
        <v>18</v>
      </c>
      <c r="E548" t="s">
        <v>19</v>
      </c>
      <c r="F548">
        <v>3</v>
      </c>
      <c r="G548" s="3">
        <v>4303.74</v>
      </c>
      <c r="H548" s="4">
        <v>12911.22</v>
      </c>
      <c r="I548" s="18">
        <f>WEEKDAY(Table1[[#This Row],[Date]],3)</f>
        <v>4</v>
      </c>
    </row>
    <row r="549" spans="1:9" x14ac:dyDescent="0.3">
      <c r="A549" s="1">
        <v>45633</v>
      </c>
      <c r="B549" t="s">
        <v>8</v>
      </c>
      <c r="C549" t="s">
        <v>24</v>
      </c>
      <c r="D549" t="s">
        <v>10</v>
      </c>
      <c r="E549" t="s">
        <v>19</v>
      </c>
      <c r="F549">
        <v>15</v>
      </c>
      <c r="G549" s="3">
        <v>1139.48</v>
      </c>
      <c r="H549" s="4">
        <v>17092.2</v>
      </c>
      <c r="I549" s="18">
        <f>WEEKDAY(Table1[[#This Row],[Date]],3)</f>
        <v>5</v>
      </c>
    </row>
    <row r="550" spans="1:9" x14ac:dyDescent="0.3">
      <c r="A550" s="1">
        <v>45634</v>
      </c>
      <c r="B550" t="s">
        <v>12</v>
      </c>
      <c r="C550" t="s">
        <v>24</v>
      </c>
      <c r="D550" t="s">
        <v>15</v>
      </c>
      <c r="E550" t="s">
        <v>16</v>
      </c>
      <c r="F550">
        <v>16</v>
      </c>
      <c r="G550" s="3">
        <v>1071.06</v>
      </c>
      <c r="H550" s="4">
        <v>17136.96</v>
      </c>
      <c r="I550" s="18">
        <f>WEEKDAY(Table1[[#This Row],[Date]],3)</f>
        <v>6</v>
      </c>
    </row>
    <row r="551" spans="1:9" x14ac:dyDescent="0.3">
      <c r="A551" s="1">
        <v>45497</v>
      </c>
      <c r="B551" t="s">
        <v>20</v>
      </c>
      <c r="C551" t="s">
        <v>24</v>
      </c>
      <c r="D551" t="s">
        <v>21</v>
      </c>
      <c r="E551" t="s">
        <v>11</v>
      </c>
      <c r="F551">
        <v>15</v>
      </c>
      <c r="G551" s="3">
        <v>5920.08</v>
      </c>
      <c r="H551" s="4">
        <v>88801.2</v>
      </c>
      <c r="I551" s="18">
        <f>WEEKDAY(Table1[[#This Row],[Date]],3)</f>
        <v>2</v>
      </c>
    </row>
    <row r="552" spans="1:9" x14ac:dyDescent="0.3">
      <c r="A552" s="1">
        <v>45330</v>
      </c>
      <c r="B552" t="s">
        <v>14</v>
      </c>
      <c r="C552" t="s">
        <v>24</v>
      </c>
      <c r="D552" t="s">
        <v>18</v>
      </c>
      <c r="E552" t="s">
        <v>16</v>
      </c>
      <c r="F552">
        <v>8</v>
      </c>
      <c r="G552" s="3">
        <v>657.97</v>
      </c>
      <c r="H552" s="4">
        <v>5263.76</v>
      </c>
      <c r="I552" s="18">
        <f>WEEKDAY(Table1[[#This Row],[Date]],3)</f>
        <v>3</v>
      </c>
    </row>
    <row r="553" spans="1:9" x14ac:dyDescent="0.3">
      <c r="A553" s="1">
        <v>45350</v>
      </c>
      <c r="B553" t="s">
        <v>23</v>
      </c>
      <c r="C553" t="s">
        <v>13</v>
      </c>
      <c r="D553" t="s">
        <v>15</v>
      </c>
      <c r="E553" t="s">
        <v>22</v>
      </c>
      <c r="F553">
        <v>2</v>
      </c>
      <c r="G553" s="3">
        <v>1752.57</v>
      </c>
      <c r="H553" s="4">
        <v>3505.14</v>
      </c>
      <c r="I553" s="18">
        <f>WEEKDAY(Table1[[#This Row],[Date]],3)</f>
        <v>2</v>
      </c>
    </row>
    <row r="554" spans="1:9" x14ac:dyDescent="0.3">
      <c r="A554" s="1">
        <v>45300</v>
      </c>
      <c r="B554" t="s">
        <v>25</v>
      </c>
      <c r="C554" t="s">
        <v>13</v>
      </c>
      <c r="D554" t="s">
        <v>21</v>
      </c>
      <c r="E554" t="s">
        <v>22</v>
      </c>
      <c r="F554">
        <v>17</v>
      </c>
      <c r="G554" s="3">
        <v>15913.98</v>
      </c>
      <c r="H554" s="4">
        <v>270537.65999999997</v>
      </c>
      <c r="I554" s="18">
        <f>WEEKDAY(Table1[[#This Row],[Date]],3)</f>
        <v>1</v>
      </c>
    </row>
    <row r="555" spans="1:9" x14ac:dyDescent="0.3">
      <c r="A555" s="1">
        <v>45402</v>
      </c>
      <c r="B555" t="s">
        <v>20</v>
      </c>
      <c r="C555" t="s">
        <v>13</v>
      </c>
      <c r="D555" t="s">
        <v>18</v>
      </c>
      <c r="E555" t="s">
        <v>16</v>
      </c>
      <c r="F555">
        <v>6</v>
      </c>
      <c r="G555" s="3">
        <v>5842.2</v>
      </c>
      <c r="H555" s="4">
        <v>35053.199999999997</v>
      </c>
      <c r="I555" s="18">
        <f>WEEKDAY(Table1[[#This Row],[Date]],3)</f>
        <v>5</v>
      </c>
    </row>
    <row r="556" spans="1:9" x14ac:dyDescent="0.3">
      <c r="A556" s="1">
        <v>45482</v>
      </c>
      <c r="B556" t="s">
        <v>20</v>
      </c>
      <c r="C556" t="s">
        <v>13</v>
      </c>
      <c r="D556" t="s">
        <v>21</v>
      </c>
      <c r="E556" t="s">
        <v>26</v>
      </c>
      <c r="F556">
        <v>9</v>
      </c>
      <c r="G556" s="3">
        <v>4846.4399999999996</v>
      </c>
      <c r="H556" s="4">
        <v>43617.96</v>
      </c>
      <c r="I556" s="18">
        <f>WEEKDAY(Table1[[#This Row],[Date]],3)</f>
        <v>1</v>
      </c>
    </row>
    <row r="557" spans="1:9" x14ac:dyDescent="0.3">
      <c r="A557" s="1">
        <v>45485</v>
      </c>
      <c r="B557" t="s">
        <v>14</v>
      </c>
      <c r="C557" t="s">
        <v>13</v>
      </c>
      <c r="D557" t="s">
        <v>21</v>
      </c>
      <c r="E557" t="s">
        <v>11</v>
      </c>
      <c r="F557">
        <v>6</v>
      </c>
      <c r="G557" s="3">
        <v>751.56</v>
      </c>
      <c r="H557" s="4">
        <v>4509.3599999999997</v>
      </c>
      <c r="I557" s="18">
        <f>WEEKDAY(Table1[[#This Row],[Date]],3)</f>
        <v>4</v>
      </c>
    </row>
    <row r="558" spans="1:9" x14ac:dyDescent="0.3">
      <c r="A558" s="1">
        <v>45458</v>
      </c>
      <c r="B558" t="s">
        <v>20</v>
      </c>
      <c r="C558" t="s">
        <v>9</v>
      </c>
      <c r="D558" t="s">
        <v>15</v>
      </c>
      <c r="E558" t="s">
        <v>11</v>
      </c>
      <c r="F558">
        <v>9</v>
      </c>
      <c r="G558" s="3">
        <v>4085.72</v>
      </c>
      <c r="H558" s="4">
        <v>36771.480000000003</v>
      </c>
      <c r="I558" s="18">
        <f>WEEKDAY(Table1[[#This Row],[Date]],3)</f>
        <v>5</v>
      </c>
    </row>
    <row r="559" spans="1:9" x14ac:dyDescent="0.3">
      <c r="A559" s="1">
        <v>45432</v>
      </c>
      <c r="B559" t="s">
        <v>29</v>
      </c>
      <c r="C559" t="s">
        <v>24</v>
      </c>
      <c r="D559" t="s">
        <v>21</v>
      </c>
      <c r="E559" t="s">
        <v>19</v>
      </c>
      <c r="F559">
        <v>3</v>
      </c>
      <c r="G559" s="3">
        <v>2699.64</v>
      </c>
      <c r="H559" s="4">
        <v>8098.92</v>
      </c>
      <c r="I559" s="18">
        <f>WEEKDAY(Table1[[#This Row],[Date]],3)</f>
        <v>0</v>
      </c>
    </row>
    <row r="560" spans="1:9" x14ac:dyDescent="0.3">
      <c r="A560" s="1">
        <v>45340</v>
      </c>
      <c r="B560" t="s">
        <v>23</v>
      </c>
      <c r="C560" t="s">
        <v>9</v>
      </c>
      <c r="D560" t="s">
        <v>18</v>
      </c>
      <c r="E560" t="s">
        <v>11</v>
      </c>
      <c r="F560">
        <v>15</v>
      </c>
      <c r="G560" s="3">
        <v>1506.01</v>
      </c>
      <c r="H560" s="4">
        <v>22590.15</v>
      </c>
      <c r="I560" s="18">
        <f>WEEKDAY(Table1[[#This Row],[Date]],3)</f>
        <v>6</v>
      </c>
    </row>
    <row r="561" spans="1:9" x14ac:dyDescent="0.3">
      <c r="A561" s="1">
        <v>45643</v>
      </c>
      <c r="B561" t="s">
        <v>8</v>
      </c>
      <c r="C561" t="s">
        <v>24</v>
      </c>
      <c r="D561" t="s">
        <v>18</v>
      </c>
      <c r="E561" t="s">
        <v>11</v>
      </c>
      <c r="F561">
        <v>11</v>
      </c>
      <c r="G561" s="3">
        <v>1444.08</v>
      </c>
      <c r="H561" s="4">
        <v>15884.88</v>
      </c>
      <c r="I561" s="18">
        <f>WEEKDAY(Table1[[#This Row],[Date]],3)</f>
        <v>1</v>
      </c>
    </row>
    <row r="562" spans="1:9" x14ac:dyDescent="0.3">
      <c r="A562" s="1">
        <v>45369</v>
      </c>
      <c r="B562" t="s">
        <v>12</v>
      </c>
      <c r="C562" t="s">
        <v>9</v>
      </c>
      <c r="D562" t="s">
        <v>15</v>
      </c>
      <c r="E562" t="s">
        <v>22</v>
      </c>
      <c r="F562">
        <v>4</v>
      </c>
      <c r="G562" s="3">
        <v>931.85</v>
      </c>
      <c r="H562" s="4">
        <v>3727.4</v>
      </c>
      <c r="I562" s="18">
        <f>WEEKDAY(Table1[[#This Row],[Date]],3)</f>
        <v>0</v>
      </c>
    </row>
    <row r="563" spans="1:9" x14ac:dyDescent="0.3">
      <c r="A563" s="1">
        <v>45630</v>
      </c>
      <c r="B563" t="s">
        <v>29</v>
      </c>
      <c r="C563" t="s">
        <v>9</v>
      </c>
      <c r="D563" t="s">
        <v>18</v>
      </c>
      <c r="E563" t="s">
        <v>26</v>
      </c>
      <c r="F563">
        <v>8</v>
      </c>
      <c r="G563" s="3">
        <v>2558.5</v>
      </c>
      <c r="H563" s="4">
        <v>20468</v>
      </c>
      <c r="I563" s="18">
        <f>WEEKDAY(Table1[[#This Row],[Date]],3)</f>
        <v>2</v>
      </c>
    </row>
    <row r="564" spans="1:9" x14ac:dyDescent="0.3">
      <c r="A564" s="1">
        <v>45484</v>
      </c>
      <c r="B564" t="s">
        <v>28</v>
      </c>
      <c r="C564" t="s">
        <v>13</v>
      </c>
      <c r="D564" t="s">
        <v>21</v>
      </c>
      <c r="E564" t="s">
        <v>16</v>
      </c>
      <c r="F564">
        <v>16</v>
      </c>
      <c r="G564" s="3">
        <v>1180</v>
      </c>
      <c r="H564" s="4">
        <v>18880</v>
      </c>
      <c r="I564" s="18">
        <f>WEEKDAY(Table1[[#This Row],[Date]],3)</f>
        <v>3</v>
      </c>
    </row>
    <row r="565" spans="1:9" x14ac:dyDescent="0.3">
      <c r="A565" s="1">
        <v>45438</v>
      </c>
      <c r="B565" t="s">
        <v>12</v>
      </c>
      <c r="C565" t="s">
        <v>9</v>
      </c>
      <c r="D565" t="s">
        <v>21</v>
      </c>
      <c r="E565" t="s">
        <v>19</v>
      </c>
      <c r="F565">
        <v>12</v>
      </c>
      <c r="G565" s="3">
        <v>786.62</v>
      </c>
      <c r="H565" s="4">
        <v>9439.44</v>
      </c>
      <c r="I565" s="18">
        <f>WEEKDAY(Table1[[#This Row],[Date]],3)</f>
        <v>6</v>
      </c>
    </row>
    <row r="566" spans="1:9" x14ac:dyDescent="0.3">
      <c r="A566" s="1">
        <v>45313</v>
      </c>
      <c r="B566" t="s">
        <v>27</v>
      </c>
      <c r="C566" t="s">
        <v>9</v>
      </c>
      <c r="D566" t="s">
        <v>18</v>
      </c>
      <c r="E566" t="s">
        <v>11</v>
      </c>
      <c r="F566">
        <v>18</v>
      </c>
      <c r="G566" s="3">
        <v>959.76</v>
      </c>
      <c r="H566" s="4">
        <v>17275.68</v>
      </c>
      <c r="I566" s="18">
        <f>WEEKDAY(Table1[[#This Row],[Date]],3)</f>
        <v>0</v>
      </c>
    </row>
    <row r="567" spans="1:9" x14ac:dyDescent="0.3">
      <c r="A567" s="1">
        <v>45374</v>
      </c>
      <c r="B567" t="s">
        <v>27</v>
      </c>
      <c r="C567" t="s">
        <v>24</v>
      </c>
      <c r="D567" t="s">
        <v>21</v>
      </c>
      <c r="E567" t="s">
        <v>19</v>
      </c>
      <c r="F567">
        <v>1</v>
      </c>
      <c r="G567" s="3">
        <v>823.45</v>
      </c>
      <c r="H567" s="4">
        <v>823.45</v>
      </c>
      <c r="I567" s="18">
        <f>WEEKDAY(Table1[[#This Row],[Date]],3)</f>
        <v>5</v>
      </c>
    </row>
    <row r="568" spans="1:9" x14ac:dyDescent="0.3">
      <c r="A568" s="1">
        <v>45417</v>
      </c>
      <c r="B568" t="s">
        <v>28</v>
      </c>
      <c r="C568" t="s">
        <v>13</v>
      </c>
      <c r="D568" t="s">
        <v>18</v>
      </c>
      <c r="E568" t="s">
        <v>11</v>
      </c>
      <c r="F568">
        <v>12</v>
      </c>
      <c r="G568" s="3">
        <v>1072.78</v>
      </c>
      <c r="H568" s="4">
        <v>12873.36</v>
      </c>
      <c r="I568" s="18">
        <f>WEEKDAY(Table1[[#This Row],[Date]],3)</f>
        <v>6</v>
      </c>
    </row>
    <row r="569" spans="1:9" x14ac:dyDescent="0.3">
      <c r="A569" s="1">
        <v>45388</v>
      </c>
      <c r="B569" t="s">
        <v>28</v>
      </c>
      <c r="C569" t="s">
        <v>9</v>
      </c>
      <c r="D569" t="s">
        <v>21</v>
      </c>
      <c r="E569" t="s">
        <v>16</v>
      </c>
      <c r="F569">
        <v>1</v>
      </c>
      <c r="G569" s="3">
        <v>871.45</v>
      </c>
      <c r="H569" s="4">
        <v>871.45</v>
      </c>
      <c r="I569" s="18">
        <f>WEEKDAY(Table1[[#This Row],[Date]],3)</f>
        <v>5</v>
      </c>
    </row>
    <row r="570" spans="1:9" x14ac:dyDescent="0.3">
      <c r="A570" s="1">
        <v>45310</v>
      </c>
      <c r="B570" t="s">
        <v>29</v>
      </c>
      <c r="C570" t="s">
        <v>9</v>
      </c>
      <c r="D570" t="s">
        <v>10</v>
      </c>
      <c r="E570" t="s">
        <v>22</v>
      </c>
      <c r="F570">
        <v>15</v>
      </c>
      <c r="G570" s="3">
        <v>3251.03</v>
      </c>
      <c r="H570" s="4">
        <v>48765.45</v>
      </c>
      <c r="I570" s="18">
        <f>WEEKDAY(Table1[[#This Row],[Date]],3)</f>
        <v>4</v>
      </c>
    </row>
    <row r="571" spans="1:9" x14ac:dyDescent="0.3">
      <c r="A571" s="1">
        <v>45580</v>
      </c>
      <c r="B571" t="s">
        <v>8</v>
      </c>
      <c r="C571" t="s">
        <v>24</v>
      </c>
      <c r="D571" t="s">
        <v>10</v>
      </c>
      <c r="E571" t="s">
        <v>11</v>
      </c>
      <c r="F571">
        <v>18</v>
      </c>
      <c r="G571" s="3">
        <v>1517.72</v>
      </c>
      <c r="H571" s="4">
        <v>27318.959999999999</v>
      </c>
      <c r="I571" s="18">
        <f>WEEKDAY(Table1[[#This Row],[Date]],3)</f>
        <v>1</v>
      </c>
    </row>
    <row r="572" spans="1:9" x14ac:dyDescent="0.3">
      <c r="A572" s="1">
        <v>45652</v>
      </c>
      <c r="B572" t="s">
        <v>20</v>
      </c>
      <c r="C572" t="s">
        <v>24</v>
      </c>
      <c r="D572" t="s">
        <v>15</v>
      </c>
      <c r="E572" t="s">
        <v>16</v>
      </c>
      <c r="F572">
        <v>10</v>
      </c>
      <c r="G572" s="3">
        <v>4038.09</v>
      </c>
      <c r="H572" s="4">
        <v>40380.9</v>
      </c>
      <c r="I572" s="18">
        <f>WEEKDAY(Table1[[#This Row],[Date]],3)</f>
        <v>3</v>
      </c>
    </row>
    <row r="573" spans="1:9" x14ac:dyDescent="0.3">
      <c r="A573" s="1">
        <v>45297</v>
      </c>
      <c r="B573" t="s">
        <v>12</v>
      </c>
      <c r="C573" t="s">
        <v>9</v>
      </c>
      <c r="D573" t="s">
        <v>21</v>
      </c>
      <c r="E573" t="s">
        <v>26</v>
      </c>
      <c r="F573">
        <v>5</v>
      </c>
      <c r="G573" s="3">
        <v>732.5</v>
      </c>
      <c r="H573" s="4">
        <v>3662.5</v>
      </c>
      <c r="I573" s="18">
        <f>WEEKDAY(Table1[[#This Row],[Date]],3)</f>
        <v>5</v>
      </c>
    </row>
    <row r="574" spans="1:9" x14ac:dyDescent="0.3">
      <c r="A574" s="1">
        <v>45510</v>
      </c>
      <c r="B574" t="s">
        <v>25</v>
      </c>
      <c r="C574" t="s">
        <v>13</v>
      </c>
      <c r="D574" t="s">
        <v>10</v>
      </c>
      <c r="E574" t="s">
        <v>11</v>
      </c>
      <c r="F574">
        <v>10</v>
      </c>
      <c r="G574" s="3">
        <v>15151.11</v>
      </c>
      <c r="H574" s="4">
        <v>151511.1</v>
      </c>
      <c r="I574" s="18">
        <f>WEEKDAY(Table1[[#This Row],[Date]],3)</f>
        <v>1</v>
      </c>
    </row>
    <row r="575" spans="1:9" x14ac:dyDescent="0.3">
      <c r="A575" s="1">
        <v>45582</v>
      </c>
      <c r="B575" t="s">
        <v>17</v>
      </c>
      <c r="C575" t="s">
        <v>24</v>
      </c>
      <c r="D575" t="s">
        <v>15</v>
      </c>
      <c r="E575" t="s">
        <v>22</v>
      </c>
      <c r="F575">
        <v>11</v>
      </c>
      <c r="G575" s="3">
        <v>2643.04</v>
      </c>
      <c r="H575" s="4">
        <v>29073.439999999999</v>
      </c>
      <c r="I575" s="18">
        <f>WEEKDAY(Table1[[#This Row],[Date]],3)</f>
        <v>3</v>
      </c>
    </row>
    <row r="576" spans="1:9" x14ac:dyDescent="0.3">
      <c r="A576" s="1">
        <v>45510</v>
      </c>
      <c r="B576" t="s">
        <v>29</v>
      </c>
      <c r="C576" t="s">
        <v>13</v>
      </c>
      <c r="D576" t="s">
        <v>18</v>
      </c>
      <c r="E576" t="s">
        <v>19</v>
      </c>
      <c r="F576">
        <v>12</v>
      </c>
      <c r="G576" s="3">
        <v>3411.85</v>
      </c>
      <c r="H576" s="4">
        <v>40942.199999999997</v>
      </c>
      <c r="I576" s="18">
        <f>WEEKDAY(Table1[[#This Row],[Date]],3)</f>
        <v>1</v>
      </c>
    </row>
    <row r="577" spans="1:9" x14ac:dyDescent="0.3">
      <c r="A577" s="1">
        <v>45613</v>
      </c>
      <c r="B577" t="s">
        <v>28</v>
      </c>
      <c r="C577" t="s">
        <v>24</v>
      </c>
      <c r="D577" t="s">
        <v>15</v>
      </c>
      <c r="E577" t="s">
        <v>11</v>
      </c>
      <c r="F577">
        <v>6</v>
      </c>
      <c r="G577" s="3">
        <v>850.54</v>
      </c>
      <c r="H577" s="4">
        <v>5103.24</v>
      </c>
      <c r="I577" s="18">
        <f>WEEKDAY(Table1[[#This Row],[Date]],3)</f>
        <v>6</v>
      </c>
    </row>
    <row r="578" spans="1:9" x14ac:dyDescent="0.3">
      <c r="A578" s="1">
        <v>45557</v>
      </c>
      <c r="B578" t="s">
        <v>20</v>
      </c>
      <c r="C578" t="s">
        <v>9</v>
      </c>
      <c r="D578" t="s">
        <v>21</v>
      </c>
      <c r="E578" t="s">
        <v>26</v>
      </c>
      <c r="F578">
        <v>4</v>
      </c>
      <c r="G578" s="3">
        <v>4248.57</v>
      </c>
      <c r="H578" s="4">
        <v>16994.28</v>
      </c>
      <c r="I578" s="18">
        <f>WEEKDAY(Table1[[#This Row],[Date]],3)</f>
        <v>6</v>
      </c>
    </row>
    <row r="579" spans="1:9" x14ac:dyDescent="0.3">
      <c r="A579" s="1">
        <v>45549</v>
      </c>
      <c r="B579" t="s">
        <v>8</v>
      </c>
      <c r="C579" t="s">
        <v>9</v>
      </c>
      <c r="D579" t="s">
        <v>10</v>
      </c>
      <c r="E579" t="s">
        <v>22</v>
      </c>
      <c r="F579">
        <v>10</v>
      </c>
      <c r="G579" s="3">
        <v>1280.83</v>
      </c>
      <c r="H579" s="4">
        <v>12808.3</v>
      </c>
      <c r="I579" s="18">
        <f>WEEKDAY(Table1[[#This Row],[Date]],3)</f>
        <v>5</v>
      </c>
    </row>
    <row r="580" spans="1:9" x14ac:dyDescent="0.3">
      <c r="A580" s="1">
        <v>45606</v>
      </c>
      <c r="B580" t="s">
        <v>29</v>
      </c>
      <c r="C580" t="s">
        <v>13</v>
      </c>
      <c r="D580" t="s">
        <v>21</v>
      </c>
      <c r="E580" t="s">
        <v>16</v>
      </c>
      <c r="F580">
        <v>4</v>
      </c>
      <c r="G580" s="3">
        <v>3922.39</v>
      </c>
      <c r="H580" s="4">
        <v>15689.56</v>
      </c>
      <c r="I580" s="18">
        <f>WEEKDAY(Table1[[#This Row],[Date]],3)</f>
        <v>6</v>
      </c>
    </row>
    <row r="581" spans="1:9" x14ac:dyDescent="0.3">
      <c r="A581" s="1">
        <v>45316</v>
      </c>
      <c r="B581" t="s">
        <v>25</v>
      </c>
      <c r="C581" t="s">
        <v>9</v>
      </c>
      <c r="D581" t="s">
        <v>18</v>
      </c>
      <c r="E581" t="s">
        <v>19</v>
      </c>
      <c r="F581">
        <v>7</v>
      </c>
      <c r="G581" s="3">
        <v>12777.91</v>
      </c>
      <c r="H581" s="4">
        <v>89445.37</v>
      </c>
      <c r="I581" s="18">
        <f>WEEKDAY(Table1[[#This Row],[Date]],3)</f>
        <v>3</v>
      </c>
    </row>
    <row r="582" spans="1:9" x14ac:dyDescent="0.3">
      <c r="A582" s="1">
        <v>45455</v>
      </c>
      <c r="B582" t="s">
        <v>27</v>
      </c>
      <c r="C582" t="s">
        <v>9</v>
      </c>
      <c r="D582" t="s">
        <v>15</v>
      </c>
      <c r="E582" t="s">
        <v>19</v>
      </c>
      <c r="F582">
        <v>9</v>
      </c>
      <c r="G582" s="3">
        <v>963.1</v>
      </c>
      <c r="H582" s="4">
        <v>8667.9</v>
      </c>
      <c r="I582" s="18">
        <f>WEEKDAY(Table1[[#This Row],[Date]],3)</f>
        <v>2</v>
      </c>
    </row>
    <row r="583" spans="1:9" x14ac:dyDescent="0.3">
      <c r="A583" s="1">
        <v>45397</v>
      </c>
      <c r="B583" t="s">
        <v>29</v>
      </c>
      <c r="C583" t="s">
        <v>24</v>
      </c>
      <c r="D583" t="s">
        <v>18</v>
      </c>
      <c r="E583" t="s">
        <v>22</v>
      </c>
      <c r="F583">
        <v>18</v>
      </c>
      <c r="G583" s="3">
        <v>4009.93</v>
      </c>
      <c r="H583" s="4">
        <v>72178.740000000005</v>
      </c>
      <c r="I583" s="18">
        <f>WEEKDAY(Table1[[#This Row],[Date]],3)</f>
        <v>0</v>
      </c>
    </row>
    <row r="584" spans="1:9" x14ac:dyDescent="0.3">
      <c r="A584" s="1">
        <v>45469</v>
      </c>
      <c r="B584" t="s">
        <v>27</v>
      </c>
      <c r="C584" t="s">
        <v>13</v>
      </c>
      <c r="D584" t="s">
        <v>18</v>
      </c>
      <c r="E584" t="s">
        <v>26</v>
      </c>
      <c r="F584">
        <v>15</v>
      </c>
      <c r="G584" s="3">
        <v>684.18</v>
      </c>
      <c r="H584" s="4">
        <v>10262.700000000001</v>
      </c>
      <c r="I584" s="18">
        <f>WEEKDAY(Table1[[#This Row],[Date]],3)</f>
        <v>2</v>
      </c>
    </row>
    <row r="585" spans="1:9" x14ac:dyDescent="0.3">
      <c r="A585" s="1">
        <v>45384</v>
      </c>
      <c r="B585" t="s">
        <v>20</v>
      </c>
      <c r="C585" t="s">
        <v>13</v>
      </c>
      <c r="D585" t="s">
        <v>15</v>
      </c>
      <c r="E585" t="s">
        <v>11</v>
      </c>
      <c r="F585">
        <v>17</v>
      </c>
      <c r="G585" s="3">
        <v>5140.63</v>
      </c>
      <c r="H585" s="4">
        <v>87390.71</v>
      </c>
      <c r="I585" s="18">
        <f>WEEKDAY(Table1[[#This Row],[Date]],3)</f>
        <v>1</v>
      </c>
    </row>
    <row r="586" spans="1:9" x14ac:dyDescent="0.3">
      <c r="A586" s="1">
        <v>45332</v>
      </c>
      <c r="B586" t="s">
        <v>12</v>
      </c>
      <c r="C586" t="s">
        <v>24</v>
      </c>
      <c r="D586" t="s">
        <v>21</v>
      </c>
      <c r="E586" t="s">
        <v>16</v>
      </c>
      <c r="F586">
        <v>8</v>
      </c>
      <c r="G586" s="3">
        <v>983.16</v>
      </c>
      <c r="H586" s="4">
        <v>7865.28</v>
      </c>
      <c r="I586" s="18">
        <f>WEEKDAY(Table1[[#This Row],[Date]],3)</f>
        <v>5</v>
      </c>
    </row>
    <row r="587" spans="1:9" x14ac:dyDescent="0.3">
      <c r="A587" s="1">
        <v>45536</v>
      </c>
      <c r="B587" t="s">
        <v>23</v>
      </c>
      <c r="C587" t="s">
        <v>13</v>
      </c>
      <c r="D587" t="s">
        <v>21</v>
      </c>
      <c r="E587" t="s">
        <v>19</v>
      </c>
      <c r="F587">
        <v>15</v>
      </c>
      <c r="G587" s="3">
        <v>1076.55</v>
      </c>
      <c r="H587" s="4">
        <v>16148.25</v>
      </c>
      <c r="I587" s="18">
        <f>WEEKDAY(Table1[[#This Row],[Date]],3)</f>
        <v>6</v>
      </c>
    </row>
    <row r="588" spans="1:9" x14ac:dyDescent="0.3">
      <c r="A588" s="1">
        <v>45516</v>
      </c>
      <c r="B588" t="s">
        <v>20</v>
      </c>
      <c r="C588" t="s">
        <v>24</v>
      </c>
      <c r="D588" t="s">
        <v>18</v>
      </c>
      <c r="E588" t="s">
        <v>11</v>
      </c>
      <c r="F588">
        <v>16</v>
      </c>
      <c r="G588" s="3">
        <v>6233.5</v>
      </c>
      <c r="H588" s="4">
        <v>99736</v>
      </c>
      <c r="I588" s="18">
        <f>WEEKDAY(Table1[[#This Row],[Date]],3)</f>
        <v>0</v>
      </c>
    </row>
    <row r="589" spans="1:9" x14ac:dyDescent="0.3">
      <c r="A589" s="1">
        <v>45494</v>
      </c>
      <c r="B589" t="s">
        <v>17</v>
      </c>
      <c r="C589" t="s">
        <v>13</v>
      </c>
      <c r="D589" t="s">
        <v>15</v>
      </c>
      <c r="E589" t="s">
        <v>22</v>
      </c>
      <c r="F589">
        <v>1</v>
      </c>
      <c r="G589" s="3">
        <v>2759.31</v>
      </c>
      <c r="H589" s="4">
        <v>2759.31</v>
      </c>
      <c r="I589" s="18">
        <f>WEEKDAY(Table1[[#This Row],[Date]],3)</f>
        <v>6</v>
      </c>
    </row>
    <row r="590" spans="1:9" x14ac:dyDescent="0.3">
      <c r="A590" s="1">
        <v>45629</v>
      </c>
      <c r="B590" t="s">
        <v>23</v>
      </c>
      <c r="C590" t="s">
        <v>24</v>
      </c>
      <c r="D590" t="s">
        <v>15</v>
      </c>
      <c r="E590" t="s">
        <v>11</v>
      </c>
      <c r="F590">
        <v>4</v>
      </c>
      <c r="G590" s="3">
        <v>1889.44</v>
      </c>
      <c r="H590" s="4">
        <v>7557.76</v>
      </c>
      <c r="I590" s="18">
        <f>WEEKDAY(Table1[[#This Row],[Date]],3)</f>
        <v>1</v>
      </c>
    </row>
    <row r="591" spans="1:9" x14ac:dyDescent="0.3">
      <c r="A591" s="1">
        <v>45368</v>
      </c>
      <c r="B591" t="s">
        <v>14</v>
      </c>
      <c r="C591" t="s">
        <v>24</v>
      </c>
      <c r="D591" t="s">
        <v>10</v>
      </c>
      <c r="E591" t="s">
        <v>22</v>
      </c>
      <c r="F591">
        <v>6</v>
      </c>
      <c r="G591" s="3">
        <v>687.44</v>
      </c>
      <c r="H591" s="4">
        <v>4124.6400000000003</v>
      </c>
      <c r="I591" s="18">
        <f>WEEKDAY(Table1[[#This Row],[Date]],3)</f>
        <v>6</v>
      </c>
    </row>
    <row r="592" spans="1:9" x14ac:dyDescent="0.3">
      <c r="A592" s="1">
        <v>45382</v>
      </c>
      <c r="B592" t="s">
        <v>14</v>
      </c>
      <c r="C592" t="s">
        <v>13</v>
      </c>
      <c r="D592" t="s">
        <v>15</v>
      </c>
      <c r="E592" t="s">
        <v>22</v>
      </c>
      <c r="F592">
        <v>17</v>
      </c>
      <c r="G592" s="3">
        <v>751.48</v>
      </c>
      <c r="H592" s="4">
        <v>12775.16</v>
      </c>
      <c r="I592" s="18">
        <f>WEEKDAY(Table1[[#This Row],[Date]],3)</f>
        <v>6</v>
      </c>
    </row>
    <row r="593" spans="1:9" x14ac:dyDescent="0.3">
      <c r="A593" s="1">
        <v>45398</v>
      </c>
      <c r="B593" t="s">
        <v>20</v>
      </c>
      <c r="C593" t="s">
        <v>13</v>
      </c>
      <c r="D593" t="s">
        <v>18</v>
      </c>
      <c r="E593" t="s">
        <v>19</v>
      </c>
      <c r="F593">
        <v>1</v>
      </c>
      <c r="G593" s="3">
        <v>6186.04</v>
      </c>
      <c r="H593" s="4">
        <v>6186.04</v>
      </c>
      <c r="I593" s="18">
        <f>WEEKDAY(Table1[[#This Row],[Date]],3)</f>
        <v>1</v>
      </c>
    </row>
    <row r="594" spans="1:9" x14ac:dyDescent="0.3">
      <c r="A594" s="1">
        <v>45428</v>
      </c>
      <c r="B594" t="s">
        <v>17</v>
      </c>
      <c r="C594" t="s">
        <v>13</v>
      </c>
      <c r="D594" t="s">
        <v>18</v>
      </c>
      <c r="E594" t="s">
        <v>22</v>
      </c>
      <c r="F594">
        <v>11</v>
      </c>
      <c r="G594" s="3">
        <v>2706.93</v>
      </c>
      <c r="H594" s="4">
        <v>29776.23</v>
      </c>
      <c r="I594" s="18">
        <f>WEEKDAY(Table1[[#This Row],[Date]],3)</f>
        <v>3</v>
      </c>
    </row>
    <row r="595" spans="1:9" x14ac:dyDescent="0.3">
      <c r="A595" s="1">
        <v>45521</v>
      </c>
      <c r="B595" t="s">
        <v>12</v>
      </c>
      <c r="C595" t="s">
        <v>24</v>
      </c>
      <c r="D595" t="s">
        <v>21</v>
      </c>
      <c r="E595" t="s">
        <v>11</v>
      </c>
      <c r="F595">
        <v>5</v>
      </c>
      <c r="G595" s="3">
        <v>1053.3499999999999</v>
      </c>
      <c r="H595" s="4">
        <v>5266.75</v>
      </c>
      <c r="I595" s="18">
        <f>WEEKDAY(Table1[[#This Row],[Date]],3)</f>
        <v>5</v>
      </c>
    </row>
    <row r="596" spans="1:9" x14ac:dyDescent="0.3">
      <c r="A596" s="1">
        <v>45309</v>
      </c>
      <c r="B596" t="s">
        <v>17</v>
      </c>
      <c r="C596" t="s">
        <v>13</v>
      </c>
      <c r="D596" t="s">
        <v>15</v>
      </c>
      <c r="E596" t="s">
        <v>11</v>
      </c>
      <c r="F596">
        <v>13</v>
      </c>
      <c r="G596" s="3">
        <v>2201.5700000000002</v>
      </c>
      <c r="H596" s="4">
        <v>28620.41</v>
      </c>
      <c r="I596" s="18">
        <f>WEEKDAY(Table1[[#This Row],[Date]],3)</f>
        <v>3</v>
      </c>
    </row>
    <row r="597" spans="1:9" x14ac:dyDescent="0.3">
      <c r="A597" s="1">
        <v>45547</v>
      </c>
      <c r="B597" t="s">
        <v>23</v>
      </c>
      <c r="C597" t="s">
        <v>9</v>
      </c>
      <c r="D597" t="s">
        <v>10</v>
      </c>
      <c r="E597" t="s">
        <v>19</v>
      </c>
      <c r="F597">
        <v>15</v>
      </c>
      <c r="G597" s="3">
        <v>1302.93</v>
      </c>
      <c r="H597" s="4">
        <v>19543.95</v>
      </c>
      <c r="I597" s="18">
        <f>WEEKDAY(Table1[[#This Row],[Date]],3)</f>
        <v>3</v>
      </c>
    </row>
    <row r="598" spans="1:9" x14ac:dyDescent="0.3">
      <c r="A598" s="1">
        <v>45294</v>
      </c>
      <c r="B598" t="s">
        <v>29</v>
      </c>
      <c r="C598" t="s">
        <v>24</v>
      </c>
      <c r="D598" t="s">
        <v>18</v>
      </c>
      <c r="E598" t="s">
        <v>26</v>
      </c>
      <c r="F598">
        <v>6</v>
      </c>
      <c r="G598" s="3">
        <v>2784.93</v>
      </c>
      <c r="H598" s="4">
        <v>16709.580000000002</v>
      </c>
      <c r="I598" s="18">
        <f>WEEKDAY(Table1[[#This Row],[Date]],3)</f>
        <v>2</v>
      </c>
    </row>
    <row r="599" spans="1:9" x14ac:dyDescent="0.3">
      <c r="A599" s="1">
        <v>45424</v>
      </c>
      <c r="B599" t="s">
        <v>25</v>
      </c>
      <c r="C599" t="s">
        <v>24</v>
      </c>
      <c r="D599" t="s">
        <v>21</v>
      </c>
      <c r="E599" t="s">
        <v>16</v>
      </c>
      <c r="F599">
        <v>18</v>
      </c>
      <c r="G599" s="3">
        <v>18435.22</v>
      </c>
      <c r="H599" s="4">
        <v>331833.96000000002</v>
      </c>
      <c r="I599" s="18">
        <f>WEEKDAY(Table1[[#This Row],[Date]],3)</f>
        <v>6</v>
      </c>
    </row>
    <row r="600" spans="1:9" x14ac:dyDescent="0.3">
      <c r="A600" s="1">
        <v>45400</v>
      </c>
      <c r="B600" t="s">
        <v>8</v>
      </c>
      <c r="C600" t="s">
        <v>13</v>
      </c>
      <c r="D600" t="s">
        <v>10</v>
      </c>
      <c r="E600" t="s">
        <v>19</v>
      </c>
      <c r="F600">
        <v>5</v>
      </c>
      <c r="G600" s="3">
        <v>845.73</v>
      </c>
      <c r="H600" s="4">
        <v>4228.6499999999996</v>
      </c>
      <c r="I600" s="18">
        <f>WEEKDAY(Table1[[#This Row],[Date]],3)</f>
        <v>3</v>
      </c>
    </row>
    <row r="601" spans="1:9" x14ac:dyDescent="0.3">
      <c r="A601" s="1">
        <v>45431</v>
      </c>
      <c r="B601" t="s">
        <v>14</v>
      </c>
      <c r="C601" t="s">
        <v>24</v>
      </c>
      <c r="D601" t="s">
        <v>10</v>
      </c>
      <c r="E601" t="s">
        <v>26</v>
      </c>
      <c r="F601">
        <v>13</v>
      </c>
      <c r="G601" s="3">
        <v>530.80999999999995</v>
      </c>
      <c r="H601" s="4">
        <v>6900.53</v>
      </c>
      <c r="I601" s="18">
        <f>WEEKDAY(Table1[[#This Row],[Date]],3)</f>
        <v>6</v>
      </c>
    </row>
    <row r="602" spans="1:9" x14ac:dyDescent="0.3">
      <c r="A602" s="1">
        <v>45323</v>
      </c>
      <c r="B602" t="s">
        <v>23</v>
      </c>
      <c r="C602" t="s">
        <v>9</v>
      </c>
      <c r="D602" t="s">
        <v>21</v>
      </c>
      <c r="E602" t="s">
        <v>22</v>
      </c>
      <c r="F602">
        <v>17</v>
      </c>
      <c r="G602" s="3">
        <v>1505.07</v>
      </c>
      <c r="H602" s="4">
        <v>25586.19</v>
      </c>
      <c r="I602" s="18">
        <f>WEEKDAY(Table1[[#This Row],[Date]],3)</f>
        <v>3</v>
      </c>
    </row>
    <row r="603" spans="1:9" x14ac:dyDescent="0.3">
      <c r="A603" s="1">
        <v>45586</v>
      </c>
      <c r="B603" t="s">
        <v>25</v>
      </c>
      <c r="C603" t="s">
        <v>9</v>
      </c>
      <c r="D603" t="s">
        <v>18</v>
      </c>
      <c r="E603" t="s">
        <v>16</v>
      </c>
      <c r="F603">
        <v>9</v>
      </c>
      <c r="G603" s="3">
        <v>11198.77</v>
      </c>
      <c r="H603" s="4">
        <v>100788.93</v>
      </c>
      <c r="I603" s="18">
        <f>WEEKDAY(Table1[[#This Row],[Date]],3)</f>
        <v>0</v>
      </c>
    </row>
    <row r="604" spans="1:9" x14ac:dyDescent="0.3">
      <c r="A604" s="1">
        <v>45400</v>
      </c>
      <c r="B604" t="s">
        <v>27</v>
      </c>
      <c r="C604" t="s">
        <v>13</v>
      </c>
      <c r="D604" t="s">
        <v>15</v>
      </c>
      <c r="E604" t="s">
        <v>26</v>
      </c>
      <c r="F604">
        <v>5</v>
      </c>
      <c r="G604" s="3">
        <v>884.93</v>
      </c>
      <c r="H604" s="4">
        <v>4424.6499999999996</v>
      </c>
      <c r="I604" s="18">
        <f>WEEKDAY(Table1[[#This Row],[Date]],3)</f>
        <v>3</v>
      </c>
    </row>
    <row r="605" spans="1:9" x14ac:dyDescent="0.3">
      <c r="A605" s="1">
        <v>45367</v>
      </c>
      <c r="B605" t="s">
        <v>23</v>
      </c>
      <c r="C605" t="s">
        <v>13</v>
      </c>
      <c r="D605" t="s">
        <v>15</v>
      </c>
      <c r="E605" t="s">
        <v>26</v>
      </c>
      <c r="F605">
        <v>9</v>
      </c>
      <c r="G605" s="3">
        <v>1194.33</v>
      </c>
      <c r="H605" s="4">
        <v>10748.97</v>
      </c>
      <c r="I605" s="18">
        <f>WEEKDAY(Table1[[#This Row],[Date]],3)</f>
        <v>5</v>
      </c>
    </row>
    <row r="606" spans="1:9" x14ac:dyDescent="0.3">
      <c r="A606" s="1">
        <v>45456</v>
      </c>
      <c r="B606" t="s">
        <v>23</v>
      </c>
      <c r="C606" t="s">
        <v>9</v>
      </c>
      <c r="D606" t="s">
        <v>21</v>
      </c>
      <c r="E606" t="s">
        <v>19</v>
      </c>
      <c r="F606">
        <v>15</v>
      </c>
      <c r="G606" s="3">
        <v>1490.44</v>
      </c>
      <c r="H606" s="4">
        <v>22356.6</v>
      </c>
      <c r="I606" s="18">
        <f>WEEKDAY(Table1[[#This Row],[Date]],3)</f>
        <v>3</v>
      </c>
    </row>
    <row r="607" spans="1:9" x14ac:dyDescent="0.3">
      <c r="A607" s="1">
        <v>45336</v>
      </c>
      <c r="B607" t="s">
        <v>25</v>
      </c>
      <c r="C607" t="s">
        <v>13</v>
      </c>
      <c r="D607" t="s">
        <v>21</v>
      </c>
      <c r="E607" t="s">
        <v>16</v>
      </c>
      <c r="F607">
        <v>2</v>
      </c>
      <c r="G607" s="3">
        <v>15287</v>
      </c>
      <c r="H607" s="4">
        <v>30574</v>
      </c>
      <c r="I607" s="18">
        <f>WEEKDAY(Table1[[#This Row],[Date]],3)</f>
        <v>2</v>
      </c>
    </row>
    <row r="608" spans="1:9" x14ac:dyDescent="0.3">
      <c r="A608" s="1">
        <v>45399</v>
      </c>
      <c r="B608" t="s">
        <v>17</v>
      </c>
      <c r="C608" t="s">
        <v>24</v>
      </c>
      <c r="D608" t="s">
        <v>15</v>
      </c>
      <c r="E608" t="s">
        <v>26</v>
      </c>
      <c r="F608">
        <v>17</v>
      </c>
      <c r="G608" s="3">
        <v>2371.3000000000002</v>
      </c>
      <c r="H608" s="4">
        <v>40312.1</v>
      </c>
      <c r="I608" s="18">
        <f>WEEKDAY(Table1[[#This Row],[Date]],3)</f>
        <v>2</v>
      </c>
    </row>
    <row r="609" spans="1:9" x14ac:dyDescent="0.3">
      <c r="A609" s="1">
        <v>45413</v>
      </c>
      <c r="B609" t="s">
        <v>12</v>
      </c>
      <c r="C609" t="s">
        <v>13</v>
      </c>
      <c r="D609" t="s">
        <v>21</v>
      </c>
      <c r="E609" t="s">
        <v>11</v>
      </c>
      <c r="F609">
        <v>4</v>
      </c>
      <c r="G609" s="3">
        <v>693.94</v>
      </c>
      <c r="H609" s="4">
        <v>2775.76</v>
      </c>
      <c r="I609" s="18">
        <f>WEEKDAY(Table1[[#This Row],[Date]],3)</f>
        <v>2</v>
      </c>
    </row>
    <row r="610" spans="1:9" x14ac:dyDescent="0.3">
      <c r="A610" s="1">
        <v>45525</v>
      </c>
      <c r="B610" t="s">
        <v>23</v>
      </c>
      <c r="C610" t="s">
        <v>13</v>
      </c>
      <c r="D610" t="s">
        <v>10</v>
      </c>
      <c r="E610" t="s">
        <v>11</v>
      </c>
      <c r="F610">
        <v>15</v>
      </c>
      <c r="G610" s="3">
        <v>1724.45</v>
      </c>
      <c r="H610" s="4">
        <v>25866.75</v>
      </c>
      <c r="I610" s="18">
        <f>WEEKDAY(Table1[[#This Row],[Date]],3)</f>
        <v>2</v>
      </c>
    </row>
    <row r="611" spans="1:9" x14ac:dyDescent="0.3">
      <c r="A611" s="1">
        <v>45443</v>
      </c>
      <c r="B611" t="s">
        <v>14</v>
      </c>
      <c r="C611" t="s">
        <v>13</v>
      </c>
      <c r="D611" t="s">
        <v>18</v>
      </c>
      <c r="E611" t="s">
        <v>26</v>
      </c>
      <c r="F611">
        <v>15</v>
      </c>
      <c r="G611" s="3">
        <v>691.39</v>
      </c>
      <c r="H611" s="4">
        <v>10370.85</v>
      </c>
      <c r="I611" s="18">
        <f>WEEKDAY(Table1[[#This Row],[Date]],3)</f>
        <v>4</v>
      </c>
    </row>
    <row r="612" spans="1:9" x14ac:dyDescent="0.3">
      <c r="A612" s="1">
        <v>45310</v>
      </c>
      <c r="B612" t="s">
        <v>27</v>
      </c>
      <c r="C612" t="s">
        <v>24</v>
      </c>
      <c r="D612" t="s">
        <v>21</v>
      </c>
      <c r="E612" t="s">
        <v>22</v>
      </c>
      <c r="F612">
        <v>1</v>
      </c>
      <c r="G612" s="3">
        <v>657.76</v>
      </c>
      <c r="H612" s="4">
        <v>657.76</v>
      </c>
      <c r="I612" s="18">
        <f>WEEKDAY(Table1[[#This Row],[Date]],3)</f>
        <v>4</v>
      </c>
    </row>
    <row r="613" spans="1:9" x14ac:dyDescent="0.3">
      <c r="A613" s="1">
        <v>45645</v>
      </c>
      <c r="B613" t="s">
        <v>27</v>
      </c>
      <c r="C613" t="s">
        <v>9</v>
      </c>
      <c r="D613" t="s">
        <v>15</v>
      </c>
      <c r="E613" t="s">
        <v>26</v>
      </c>
      <c r="F613">
        <v>2</v>
      </c>
      <c r="G613" s="3">
        <v>570.63</v>
      </c>
      <c r="H613" s="4">
        <v>1141.26</v>
      </c>
      <c r="I613" s="18">
        <f>WEEKDAY(Table1[[#This Row],[Date]],3)</f>
        <v>3</v>
      </c>
    </row>
    <row r="614" spans="1:9" x14ac:dyDescent="0.3">
      <c r="A614" s="1">
        <v>45530</v>
      </c>
      <c r="B614" t="s">
        <v>25</v>
      </c>
      <c r="C614" t="s">
        <v>9</v>
      </c>
      <c r="D614" t="s">
        <v>21</v>
      </c>
      <c r="E614" t="s">
        <v>16</v>
      </c>
      <c r="F614">
        <v>7</v>
      </c>
      <c r="G614" s="3">
        <v>11785.58</v>
      </c>
      <c r="H614" s="4">
        <v>82499.06</v>
      </c>
      <c r="I614" s="18">
        <f>WEEKDAY(Table1[[#This Row],[Date]],3)</f>
        <v>0</v>
      </c>
    </row>
    <row r="615" spans="1:9" x14ac:dyDescent="0.3">
      <c r="A615" s="1">
        <v>45573</v>
      </c>
      <c r="B615" t="s">
        <v>25</v>
      </c>
      <c r="C615" t="s">
        <v>13</v>
      </c>
      <c r="D615" t="s">
        <v>18</v>
      </c>
      <c r="E615" t="s">
        <v>16</v>
      </c>
      <c r="F615">
        <v>17</v>
      </c>
      <c r="G615" s="3">
        <v>16610.080000000002</v>
      </c>
      <c r="H615" s="4">
        <v>282371.36</v>
      </c>
      <c r="I615" s="18">
        <f>WEEKDAY(Table1[[#This Row],[Date]],3)</f>
        <v>1</v>
      </c>
    </row>
    <row r="616" spans="1:9" x14ac:dyDescent="0.3">
      <c r="A616" s="1">
        <v>45605</v>
      </c>
      <c r="B616" t="s">
        <v>25</v>
      </c>
      <c r="C616" t="s">
        <v>13</v>
      </c>
      <c r="D616" t="s">
        <v>18</v>
      </c>
      <c r="E616" t="s">
        <v>26</v>
      </c>
      <c r="F616">
        <v>17</v>
      </c>
      <c r="G616" s="3">
        <v>16002.03</v>
      </c>
      <c r="H616" s="4">
        <v>272034.51</v>
      </c>
      <c r="I616" s="18">
        <f>WEEKDAY(Table1[[#This Row],[Date]],3)</f>
        <v>5</v>
      </c>
    </row>
    <row r="617" spans="1:9" x14ac:dyDescent="0.3">
      <c r="A617" s="1">
        <v>45462</v>
      </c>
      <c r="B617" t="s">
        <v>20</v>
      </c>
      <c r="C617" t="s">
        <v>13</v>
      </c>
      <c r="D617" t="s">
        <v>18</v>
      </c>
      <c r="E617" t="s">
        <v>11</v>
      </c>
      <c r="F617">
        <v>15</v>
      </c>
      <c r="G617" s="3">
        <v>6156.86</v>
      </c>
      <c r="H617" s="4">
        <v>92352.9</v>
      </c>
      <c r="I617" s="18">
        <f>WEEKDAY(Table1[[#This Row],[Date]],3)</f>
        <v>2</v>
      </c>
    </row>
    <row r="618" spans="1:9" x14ac:dyDescent="0.3">
      <c r="A618" s="1">
        <v>45573</v>
      </c>
      <c r="B618" t="s">
        <v>20</v>
      </c>
      <c r="C618" t="s">
        <v>24</v>
      </c>
      <c r="D618" t="s">
        <v>21</v>
      </c>
      <c r="E618" t="s">
        <v>26</v>
      </c>
      <c r="F618">
        <v>1</v>
      </c>
      <c r="G618" s="3">
        <v>4895.17</v>
      </c>
      <c r="H618" s="4">
        <v>4895.17</v>
      </c>
      <c r="I618" s="18">
        <f>WEEKDAY(Table1[[#This Row],[Date]],3)</f>
        <v>1</v>
      </c>
    </row>
    <row r="619" spans="1:9" x14ac:dyDescent="0.3">
      <c r="A619" s="1">
        <v>45377</v>
      </c>
      <c r="B619" t="s">
        <v>20</v>
      </c>
      <c r="C619" t="s">
        <v>13</v>
      </c>
      <c r="D619" t="s">
        <v>21</v>
      </c>
      <c r="E619" t="s">
        <v>11</v>
      </c>
      <c r="F619">
        <v>9</v>
      </c>
      <c r="G619" s="3">
        <v>5094.7299999999996</v>
      </c>
      <c r="H619" s="4">
        <v>45852.57</v>
      </c>
      <c r="I619" s="18">
        <f>WEEKDAY(Table1[[#This Row],[Date]],3)</f>
        <v>1</v>
      </c>
    </row>
    <row r="620" spans="1:9" x14ac:dyDescent="0.3">
      <c r="A620" s="1">
        <v>45630</v>
      </c>
      <c r="B620" t="s">
        <v>27</v>
      </c>
      <c r="C620" t="s">
        <v>24</v>
      </c>
      <c r="D620" t="s">
        <v>18</v>
      </c>
      <c r="E620" t="s">
        <v>16</v>
      </c>
      <c r="F620">
        <v>15</v>
      </c>
      <c r="G620" s="3">
        <v>783.83</v>
      </c>
      <c r="H620" s="4">
        <v>11757.45</v>
      </c>
      <c r="I620" s="18">
        <f>WEEKDAY(Table1[[#This Row],[Date]],3)</f>
        <v>2</v>
      </c>
    </row>
    <row r="621" spans="1:9" x14ac:dyDescent="0.3">
      <c r="A621" s="1">
        <v>45472</v>
      </c>
      <c r="B621" t="s">
        <v>20</v>
      </c>
      <c r="C621" t="s">
        <v>24</v>
      </c>
      <c r="D621" t="s">
        <v>10</v>
      </c>
      <c r="E621" t="s">
        <v>22</v>
      </c>
      <c r="F621">
        <v>8</v>
      </c>
      <c r="G621" s="3">
        <v>6132.05</v>
      </c>
      <c r="H621" s="4">
        <v>49056.4</v>
      </c>
      <c r="I621" s="18">
        <f>WEEKDAY(Table1[[#This Row],[Date]],3)</f>
        <v>5</v>
      </c>
    </row>
    <row r="622" spans="1:9" x14ac:dyDescent="0.3">
      <c r="A622" s="1">
        <v>45495</v>
      </c>
      <c r="B622" t="s">
        <v>20</v>
      </c>
      <c r="C622" t="s">
        <v>13</v>
      </c>
      <c r="D622" t="s">
        <v>21</v>
      </c>
      <c r="E622" t="s">
        <v>19</v>
      </c>
      <c r="F622">
        <v>17</v>
      </c>
      <c r="G622" s="3">
        <v>3722.32</v>
      </c>
      <c r="H622" s="4">
        <v>63279.44</v>
      </c>
      <c r="I622" s="18">
        <f>WEEKDAY(Table1[[#This Row],[Date]],3)</f>
        <v>0</v>
      </c>
    </row>
    <row r="623" spans="1:9" x14ac:dyDescent="0.3">
      <c r="A623" s="1">
        <v>45613</v>
      </c>
      <c r="B623" t="s">
        <v>29</v>
      </c>
      <c r="C623" t="s">
        <v>13</v>
      </c>
      <c r="D623" t="s">
        <v>21</v>
      </c>
      <c r="E623" t="s">
        <v>16</v>
      </c>
      <c r="F623">
        <v>10</v>
      </c>
      <c r="G623" s="3">
        <v>3124.44</v>
      </c>
      <c r="H623" s="4">
        <v>31244.400000000001</v>
      </c>
      <c r="I623" s="18">
        <f>WEEKDAY(Table1[[#This Row],[Date]],3)</f>
        <v>6</v>
      </c>
    </row>
    <row r="624" spans="1:9" x14ac:dyDescent="0.3">
      <c r="A624" s="1">
        <v>45630</v>
      </c>
      <c r="B624" t="s">
        <v>27</v>
      </c>
      <c r="C624" t="s">
        <v>24</v>
      </c>
      <c r="D624" t="s">
        <v>15</v>
      </c>
      <c r="E624" t="s">
        <v>11</v>
      </c>
      <c r="F624">
        <v>4</v>
      </c>
      <c r="G624" s="3">
        <v>782.83</v>
      </c>
      <c r="H624" s="4">
        <v>3131.32</v>
      </c>
      <c r="I624" s="18">
        <f>WEEKDAY(Table1[[#This Row],[Date]],3)</f>
        <v>2</v>
      </c>
    </row>
    <row r="625" spans="1:9" x14ac:dyDescent="0.3">
      <c r="A625" s="1">
        <v>45622</v>
      </c>
      <c r="B625" t="s">
        <v>12</v>
      </c>
      <c r="C625" t="s">
        <v>13</v>
      </c>
      <c r="D625" t="s">
        <v>10</v>
      </c>
      <c r="E625" t="s">
        <v>11</v>
      </c>
      <c r="F625">
        <v>11</v>
      </c>
      <c r="G625" s="3">
        <v>1078.94</v>
      </c>
      <c r="H625" s="4">
        <v>11868.34</v>
      </c>
      <c r="I625" s="18">
        <f>WEEKDAY(Table1[[#This Row],[Date]],3)</f>
        <v>1</v>
      </c>
    </row>
    <row r="626" spans="1:9" x14ac:dyDescent="0.3">
      <c r="A626" s="1">
        <v>45547</v>
      </c>
      <c r="B626" t="s">
        <v>25</v>
      </c>
      <c r="C626" t="s">
        <v>9</v>
      </c>
      <c r="D626" t="s">
        <v>21</v>
      </c>
      <c r="E626" t="s">
        <v>19</v>
      </c>
      <c r="F626">
        <v>2</v>
      </c>
      <c r="G626" s="3">
        <v>17455.29</v>
      </c>
      <c r="H626" s="4">
        <v>34910.58</v>
      </c>
      <c r="I626" s="18">
        <f>WEEKDAY(Table1[[#This Row],[Date]],3)</f>
        <v>3</v>
      </c>
    </row>
    <row r="627" spans="1:9" x14ac:dyDescent="0.3">
      <c r="A627" s="1">
        <v>45498</v>
      </c>
      <c r="B627" t="s">
        <v>20</v>
      </c>
      <c r="C627" t="s">
        <v>9</v>
      </c>
      <c r="D627" t="s">
        <v>15</v>
      </c>
      <c r="E627" t="s">
        <v>22</v>
      </c>
      <c r="F627">
        <v>5</v>
      </c>
      <c r="G627" s="3">
        <v>5063.22</v>
      </c>
      <c r="H627" s="4">
        <v>25316.1</v>
      </c>
      <c r="I627" s="18">
        <f>WEEKDAY(Table1[[#This Row],[Date]],3)</f>
        <v>3</v>
      </c>
    </row>
    <row r="628" spans="1:9" x14ac:dyDescent="0.3">
      <c r="A628" s="1">
        <v>45609</v>
      </c>
      <c r="B628" t="s">
        <v>23</v>
      </c>
      <c r="C628" t="s">
        <v>24</v>
      </c>
      <c r="D628" t="s">
        <v>21</v>
      </c>
      <c r="E628" t="s">
        <v>26</v>
      </c>
      <c r="F628">
        <v>3</v>
      </c>
      <c r="G628" s="3">
        <v>1654.04</v>
      </c>
      <c r="H628" s="4">
        <v>4962.12</v>
      </c>
      <c r="I628" s="18">
        <f>WEEKDAY(Table1[[#This Row],[Date]],3)</f>
        <v>2</v>
      </c>
    </row>
    <row r="629" spans="1:9" x14ac:dyDescent="0.3">
      <c r="A629" s="1">
        <v>45483</v>
      </c>
      <c r="B629" t="s">
        <v>23</v>
      </c>
      <c r="C629" t="s">
        <v>9</v>
      </c>
      <c r="D629" t="s">
        <v>10</v>
      </c>
      <c r="E629" t="s">
        <v>19</v>
      </c>
      <c r="F629">
        <v>6</v>
      </c>
      <c r="G629" s="3">
        <v>1724.98</v>
      </c>
      <c r="H629" s="4">
        <v>10349.879999999999</v>
      </c>
      <c r="I629" s="18">
        <f>WEEKDAY(Table1[[#This Row],[Date]],3)</f>
        <v>2</v>
      </c>
    </row>
    <row r="630" spans="1:9" x14ac:dyDescent="0.3">
      <c r="A630" s="1">
        <v>45506</v>
      </c>
      <c r="B630" t="s">
        <v>27</v>
      </c>
      <c r="C630" t="s">
        <v>9</v>
      </c>
      <c r="D630" t="s">
        <v>21</v>
      </c>
      <c r="E630" t="s">
        <v>22</v>
      </c>
      <c r="F630">
        <v>4</v>
      </c>
      <c r="G630" s="3">
        <v>969.24</v>
      </c>
      <c r="H630" s="4">
        <v>3876.96</v>
      </c>
      <c r="I630" s="18">
        <f>WEEKDAY(Table1[[#This Row],[Date]],3)</f>
        <v>4</v>
      </c>
    </row>
    <row r="631" spans="1:9" x14ac:dyDescent="0.3">
      <c r="A631" s="1">
        <v>45536</v>
      </c>
      <c r="B631" t="s">
        <v>29</v>
      </c>
      <c r="C631" t="s">
        <v>24</v>
      </c>
      <c r="D631" t="s">
        <v>15</v>
      </c>
      <c r="E631" t="s">
        <v>19</v>
      </c>
      <c r="F631">
        <v>10</v>
      </c>
      <c r="G631" s="3">
        <v>3321.44</v>
      </c>
      <c r="H631" s="4">
        <v>33214.400000000001</v>
      </c>
      <c r="I631" s="18">
        <f>WEEKDAY(Table1[[#This Row],[Date]],3)</f>
        <v>6</v>
      </c>
    </row>
    <row r="632" spans="1:9" x14ac:dyDescent="0.3">
      <c r="A632" s="1">
        <v>45558</v>
      </c>
      <c r="B632" t="s">
        <v>29</v>
      </c>
      <c r="C632" t="s">
        <v>13</v>
      </c>
      <c r="D632" t="s">
        <v>18</v>
      </c>
      <c r="E632" t="s">
        <v>16</v>
      </c>
      <c r="F632">
        <v>2</v>
      </c>
      <c r="G632" s="3">
        <v>3342.19</v>
      </c>
      <c r="H632" s="4">
        <v>6684.38</v>
      </c>
      <c r="I632" s="18">
        <f>WEEKDAY(Table1[[#This Row],[Date]],3)</f>
        <v>0</v>
      </c>
    </row>
    <row r="633" spans="1:9" x14ac:dyDescent="0.3">
      <c r="A633" s="1">
        <v>45495</v>
      </c>
      <c r="B633" t="s">
        <v>12</v>
      </c>
      <c r="C633" t="s">
        <v>13</v>
      </c>
      <c r="D633" t="s">
        <v>10</v>
      </c>
      <c r="E633" t="s">
        <v>26</v>
      </c>
      <c r="F633">
        <v>2</v>
      </c>
      <c r="G633" s="3">
        <v>702.17</v>
      </c>
      <c r="H633" s="4">
        <v>1404.34</v>
      </c>
      <c r="I633" s="18">
        <f>WEEKDAY(Table1[[#This Row],[Date]],3)</f>
        <v>0</v>
      </c>
    </row>
    <row r="634" spans="1:9" x14ac:dyDescent="0.3">
      <c r="A634" s="1">
        <v>45637</v>
      </c>
      <c r="B634" t="s">
        <v>23</v>
      </c>
      <c r="C634" t="s">
        <v>24</v>
      </c>
      <c r="D634" t="s">
        <v>15</v>
      </c>
      <c r="E634" t="s">
        <v>26</v>
      </c>
      <c r="F634">
        <v>6</v>
      </c>
      <c r="G634" s="3">
        <v>1529.93</v>
      </c>
      <c r="H634" s="4">
        <v>9179.58</v>
      </c>
      <c r="I634" s="18">
        <f>WEEKDAY(Table1[[#This Row],[Date]],3)</f>
        <v>2</v>
      </c>
    </row>
    <row r="635" spans="1:9" x14ac:dyDescent="0.3">
      <c r="A635" s="1">
        <v>45486</v>
      </c>
      <c r="B635" t="s">
        <v>29</v>
      </c>
      <c r="C635" t="s">
        <v>13</v>
      </c>
      <c r="D635" t="s">
        <v>15</v>
      </c>
      <c r="E635" t="s">
        <v>16</v>
      </c>
      <c r="F635">
        <v>1</v>
      </c>
      <c r="G635" s="3">
        <v>3560.32</v>
      </c>
      <c r="H635" s="4">
        <v>3560.32</v>
      </c>
      <c r="I635" s="18">
        <f>WEEKDAY(Table1[[#This Row],[Date]],3)</f>
        <v>5</v>
      </c>
    </row>
    <row r="636" spans="1:9" x14ac:dyDescent="0.3">
      <c r="A636" s="1">
        <v>45447</v>
      </c>
      <c r="B636" t="s">
        <v>28</v>
      </c>
      <c r="C636" t="s">
        <v>24</v>
      </c>
      <c r="D636" t="s">
        <v>15</v>
      </c>
      <c r="E636" t="s">
        <v>16</v>
      </c>
      <c r="F636">
        <v>4</v>
      </c>
      <c r="G636" s="3">
        <v>1194.26</v>
      </c>
      <c r="H636" s="4">
        <v>4777.04</v>
      </c>
      <c r="I636" s="18">
        <f>WEEKDAY(Table1[[#This Row],[Date]],3)</f>
        <v>1</v>
      </c>
    </row>
    <row r="637" spans="1:9" x14ac:dyDescent="0.3">
      <c r="A637" s="1">
        <v>45365</v>
      </c>
      <c r="B637" t="s">
        <v>23</v>
      </c>
      <c r="C637" t="s">
        <v>9</v>
      </c>
      <c r="D637" t="s">
        <v>10</v>
      </c>
      <c r="E637" t="s">
        <v>19</v>
      </c>
      <c r="F637">
        <v>6</v>
      </c>
      <c r="G637" s="3">
        <v>1758.04</v>
      </c>
      <c r="H637" s="4">
        <v>10548.24</v>
      </c>
      <c r="I637" s="18">
        <f>WEEKDAY(Table1[[#This Row],[Date]],3)</f>
        <v>3</v>
      </c>
    </row>
    <row r="638" spans="1:9" x14ac:dyDescent="0.3">
      <c r="A638" s="1">
        <v>45648</v>
      </c>
      <c r="B638" t="s">
        <v>8</v>
      </c>
      <c r="C638" t="s">
        <v>9</v>
      </c>
      <c r="D638" t="s">
        <v>21</v>
      </c>
      <c r="E638" t="s">
        <v>26</v>
      </c>
      <c r="F638">
        <v>5</v>
      </c>
      <c r="G638" s="3">
        <v>1026.9000000000001</v>
      </c>
      <c r="H638" s="4">
        <v>5134.5</v>
      </c>
      <c r="I638" s="18">
        <f>WEEKDAY(Table1[[#This Row],[Date]],3)</f>
        <v>6</v>
      </c>
    </row>
    <row r="639" spans="1:9" x14ac:dyDescent="0.3">
      <c r="A639" s="1">
        <v>45361</v>
      </c>
      <c r="B639" t="s">
        <v>28</v>
      </c>
      <c r="C639" t="s">
        <v>13</v>
      </c>
      <c r="D639" t="s">
        <v>10</v>
      </c>
      <c r="E639" t="s">
        <v>16</v>
      </c>
      <c r="F639">
        <v>14</v>
      </c>
      <c r="G639" s="3">
        <v>1100.1099999999999</v>
      </c>
      <c r="H639" s="4">
        <v>15401.54</v>
      </c>
      <c r="I639" s="18">
        <f>WEEKDAY(Table1[[#This Row],[Date]],3)</f>
        <v>6</v>
      </c>
    </row>
    <row r="640" spans="1:9" x14ac:dyDescent="0.3">
      <c r="A640" s="1">
        <v>45508</v>
      </c>
      <c r="B640" t="s">
        <v>14</v>
      </c>
      <c r="C640" t="s">
        <v>24</v>
      </c>
      <c r="D640" t="s">
        <v>10</v>
      </c>
      <c r="E640" t="s">
        <v>16</v>
      </c>
      <c r="F640">
        <v>7</v>
      </c>
      <c r="G640" s="3">
        <v>778.62</v>
      </c>
      <c r="H640" s="4">
        <v>5450.34</v>
      </c>
      <c r="I640" s="18">
        <f>WEEKDAY(Table1[[#This Row],[Date]],3)</f>
        <v>6</v>
      </c>
    </row>
    <row r="641" spans="1:9" x14ac:dyDescent="0.3">
      <c r="A641" s="1">
        <v>45521</v>
      </c>
      <c r="B641" t="s">
        <v>17</v>
      </c>
      <c r="C641" t="s">
        <v>24</v>
      </c>
      <c r="D641" t="s">
        <v>21</v>
      </c>
      <c r="E641" t="s">
        <v>11</v>
      </c>
      <c r="F641">
        <v>1</v>
      </c>
      <c r="G641" s="3">
        <v>2615.0500000000002</v>
      </c>
      <c r="H641" s="4">
        <v>2615.0500000000002</v>
      </c>
      <c r="I641" s="18">
        <f>WEEKDAY(Table1[[#This Row],[Date]],3)</f>
        <v>5</v>
      </c>
    </row>
    <row r="642" spans="1:9" x14ac:dyDescent="0.3">
      <c r="A642" s="1">
        <v>45547</v>
      </c>
      <c r="B642" t="s">
        <v>29</v>
      </c>
      <c r="C642" t="s">
        <v>13</v>
      </c>
      <c r="D642" t="s">
        <v>21</v>
      </c>
      <c r="E642" t="s">
        <v>19</v>
      </c>
      <c r="F642">
        <v>11</v>
      </c>
      <c r="G642" s="3">
        <v>4410.5</v>
      </c>
      <c r="H642" s="4">
        <v>48515.5</v>
      </c>
      <c r="I642" s="18">
        <f>WEEKDAY(Table1[[#This Row],[Date]],3)</f>
        <v>3</v>
      </c>
    </row>
    <row r="643" spans="1:9" x14ac:dyDescent="0.3">
      <c r="A643" s="1">
        <v>45382</v>
      </c>
      <c r="B643" t="s">
        <v>12</v>
      </c>
      <c r="C643" t="s">
        <v>13</v>
      </c>
      <c r="D643" t="s">
        <v>18</v>
      </c>
      <c r="E643" t="s">
        <v>11</v>
      </c>
      <c r="F643">
        <v>3</v>
      </c>
      <c r="G643" s="3">
        <v>938.43</v>
      </c>
      <c r="H643" s="4">
        <v>2815.29</v>
      </c>
      <c r="I643" s="18">
        <f>WEEKDAY(Table1[[#This Row],[Date]],3)</f>
        <v>6</v>
      </c>
    </row>
    <row r="644" spans="1:9" x14ac:dyDescent="0.3">
      <c r="A644" s="1">
        <v>45544</v>
      </c>
      <c r="B644" t="s">
        <v>25</v>
      </c>
      <c r="C644" t="s">
        <v>13</v>
      </c>
      <c r="D644" t="s">
        <v>21</v>
      </c>
      <c r="E644" t="s">
        <v>11</v>
      </c>
      <c r="F644">
        <v>19</v>
      </c>
      <c r="G644" s="3">
        <v>14154.11</v>
      </c>
      <c r="H644" s="4">
        <v>268928.09000000003</v>
      </c>
      <c r="I644" s="18">
        <f>WEEKDAY(Table1[[#This Row],[Date]],3)</f>
        <v>0</v>
      </c>
    </row>
    <row r="645" spans="1:9" x14ac:dyDescent="0.3">
      <c r="A645" s="1">
        <v>45595</v>
      </c>
      <c r="B645" t="s">
        <v>28</v>
      </c>
      <c r="C645" t="s">
        <v>13</v>
      </c>
      <c r="D645" t="s">
        <v>15</v>
      </c>
      <c r="E645" t="s">
        <v>22</v>
      </c>
      <c r="F645">
        <v>17</v>
      </c>
      <c r="G645" s="3">
        <v>1157.3800000000001</v>
      </c>
      <c r="H645" s="4">
        <v>19675.46</v>
      </c>
      <c r="I645" s="18">
        <f>WEEKDAY(Table1[[#This Row],[Date]],3)</f>
        <v>2</v>
      </c>
    </row>
    <row r="646" spans="1:9" x14ac:dyDescent="0.3">
      <c r="A646" s="1">
        <v>45474</v>
      </c>
      <c r="B646" t="s">
        <v>12</v>
      </c>
      <c r="C646" t="s">
        <v>13</v>
      </c>
      <c r="D646" t="s">
        <v>10</v>
      </c>
      <c r="E646" t="s">
        <v>16</v>
      </c>
      <c r="F646">
        <v>10</v>
      </c>
      <c r="G646" s="3">
        <v>840.92</v>
      </c>
      <c r="H646" s="4">
        <v>8409.2000000000007</v>
      </c>
      <c r="I646" s="18">
        <f>WEEKDAY(Table1[[#This Row],[Date]],3)</f>
        <v>0</v>
      </c>
    </row>
    <row r="647" spans="1:9" x14ac:dyDescent="0.3">
      <c r="A647" s="1">
        <v>45359</v>
      </c>
      <c r="B647" t="s">
        <v>27</v>
      </c>
      <c r="C647" t="s">
        <v>13</v>
      </c>
      <c r="D647" t="s">
        <v>15</v>
      </c>
      <c r="E647" t="s">
        <v>22</v>
      </c>
      <c r="F647">
        <v>11</v>
      </c>
      <c r="G647" s="3">
        <v>837.84</v>
      </c>
      <c r="H647" s="4">
        <v>9216.24</v>
      </c>
      <c r="I647" s="18">
        <f>WEEKDAY(Table1[[#This Row],[Date]],3)</f>
        <v>4</v>
      </c>
    </row>
    <row r="648" spans="1:9" x14ac:dyDescent="0.3">
      <c r="A648" s="1">
        <v>45339</v>
      </c>
      <c r="B648" t="s">
        <v>27</v>
      </c>
      <c r="C648" t="s">
        <v>13</v>
      </c>
      <c r="D648" t="s">
        <v>21</v>
      </c>
      <c r="E648" t="s">
        <v>11</v>
      </c>
      <c r="F648">
        <v>14</v>
      </c>
      <c r="G648" s="3">
        <v>738.31</v>
      </c>
      <c r="H648" s="4">
        <v>10336.34</v>
      </c>
      <c r="I648" s="18">
        <f>WEEKDAY(Table1[[#This Row],[Date]],3)</f>
        <v>5</v>
      </c>
    </row>
    <row r="649" spans="1:9" x14ac:dyDescent="0.3">
      <c r="A649" s="1">
        <v>45319</v>
      </c>
      <c r="B649" t="s">
        <v>28</v>
      </c>
      <c r="C649" t="s">
        <v>13</v>
      </c>
      <c r="D649" t="s">
        <v>10</v>
      </c>
      <c r="E649" t="s">
        <v>16</v>
      </c>
      <c r="F649">
        <v>19</v>
      </c>
      <c r="G649" s="3">
        <v>965.84</v>
      </c>
      <c r="H649" s="4">
        <v>18350.96</v>
      </c>
      <c r="I649" s="18">
        <f>WEEKDAY(Table1[[#This Row],[Date]],3)</f>
        <v>6</v>
      </c>
    </row>
    <row r="650" spans="1:9" x14ac:dyDescent="0.3">
      <c r="A650" s="1">
        <v>45341</v>
      </c>
      <c r="B650" t="s">
        <v>8</v>
      </c>
      <c r="C650" t="s">
        <v>24</v>
      </c>
      <c r="D650" t="s">
        <v>18</v>
      </c>
      <c r="E650" t="s">
        <v>22</v>
      </c>
      <c r="F650">
        <v>6</v>
      </c>
      <c r="G650" s="3">
        <v>1267.07</v>
      </c>
      <c r="H650" s="4">
        <v>7602.42</v>
      </c>
      <c r="I650" s="18">
        <f>WEEKDAY(Table1[[#This Row],[Date]],3)</f>
        <v>0</v>
      </c>
    </row>
    <row r="651" spans="1:9" x14ac:dyDescent="0.3">
      <c r="A651" s="1">
        <v>45494</v>
      </c>
      <c r="B651" t="s">
        <v>17</v>
      </c>
      <c r="C651" t="s">
        <v>13</v>
      </c>
      <c r="D651" t="s">
        <v>10</v>
      </c>
      <c r="E651" t="s">
        <v>22</v>
      </c>
      <c r="F651">
        <v>11</v>
      </c>
      <c r="G651" s="3">
        <v>2001.04</v>
      </c>
      <c r="H651" s="4">
        <v>22011.439999999999</v>
      </c>
      <c r="I651" s="18">
        <f>WEEKDAY(Table1[[#This Row],[Date]],3)</f>
        <v>6</v>
      </c>
    </row>
    <row r="652" spans="1:9" x14ac:dyDescent="0.3">
      <c r="A652" s="1">
        <v>45424</v>
      </c>
      <c r="B652" t="s">
        <v>23</v>
      </c>
      <c r="C652" t="s">
        <v>9</v>
      </c>
      <c r="D652" t="s">
        <v>10</v>
      </c>
      <c r="E652" t="s">
        <v>26</v>
      </c>
      <c r="F652">
        <v>9</v>
      </c>
      <c r="G652" s="3">
        <v>1112.82</v>
      </c>
      <c r="H652" s="4">
        <v>10015.379999999999</v>
      </c>
      <c r="I652" s="18">
        <f>WEEKDAY(Table1[[#This Row],[Date]],3)</f>
        <v>6</v>
      </c>
    </row>
    <row r="653" spans="1:9" x14ac:dyDescent="0.3">
      <c r="A653" s="1">
        <v>45630</v>
      </c>
      <c r="B653" t="s">
        <v>25</v>
      </c>
      <c r="C653" t="s">
        <v>13</v>
      </c>
      <c r="D653" t="s">
        <v>21</v>
      </c>
      <c r="E653" t="s">
        <v>26</v>
      </c>
      <c r="F653">
        <v>15</v>
      </c>
      <c r="G653" s="3">
        <v>12337.5</v>
      </c>
      <c r="H653" s="4">
        <v>185062.5</v>
      </c>
      <c r="I653" s="18">
        <f>WEEKDAY(Table1[[#This Row],[Date]],3)</f>
        <v>2</v>
      </c>
    </row>
    <row r="654" spans="1:9" x14ac:dyDescent="0.3">
      <c r="A654" s="1">
        <v>45505</v>
      </c>
      <c r="B654" t="s">
        <v>17</v>
      </c>
      <c r="C654" t="s">
        <v>13</v>
      </c>
      <c r="D654" t="s">
        <v>18</v>
      </c>
      <c r="E654" t="s">
        <v>16</v>
      </c>
      <c r="F654">
        <v>14</v>
      </c>
      <c r="G654" s="3">
        <v>2004.59</v>
      </c>
      <c r="H654" s="4">
        <v>28064.26</v>
      </c>
      <c r="I654" s="18">
        <f>WEEKDAY(Table1[[#This Row],[Date]],3)</f>
        <v>3</v>
      </c>
    </row>
    <row r="655" spans="1:9" x14ac:dyDescent="0.3">
      <c r="A655" s="1">
        <v>45403</v>
      </c>
      <c r="B655" t="s">
        <v>25</v>
      </c>
      <c r="C655" t="s">
        <v>13</v>
      </c>
      <c r="D655" t="s">
        <v>10</v>
      </c>
      <c r="E655" t="s">
        <v>11</v>
      </c>
      <c r="F655">
        <v>15</v>
      </c>
      <c r="G655" s="3">
        <v>18043.39</v>
      </c>
      <c r="H655" s="4">
        <v>270650.84999999998</v>
      </c>
      <c r="I655" s="18">
        <f>WEEKDAY(Table1[[#This Row],[Date]],3)</f>
        <v>6</v>
      </c>
    </row>
    <row r="656" spans="1:9" x14ac:dyDescent="0.3">
      <c r="A656" s="1">
        <v>45409</v>
      </c>
      <c r="B656" t="s">
        <v>8</v>
      </c>
      <c r="C656" t="s">
        <v>24</v>
      </c>
      <c r="D656" t="s">
        <v>15</v>
      </c>
      <c r="E656" t="s">
        <v>11</v>
      </c>
      <c r="F656">
        <v>13</v>
      </c>
      <c r="G656" s="3">
        <v>950.66</v>
      </c>
      <c r="H656" s="4">
        <v>12358.58</v>
      </c>
      <c r="I656" s="18">
        <f>WEEKDAY(Table1[[#This Row],[Date]],3)</f>
        <v>5</v>
      </c>
    </row>
    <row r="657" spans="1:9" x14ac:dyDescent="0.3">
      <c r="A657" s="1">
        <v>45584</v>
      </c>
      <c r="B657" t="s">
        <v>25</v>
      </c>
      <c r="C657" t="s">
        <v>24</v>
      </c>
      <c r="D657" t="s">
        <v>15</v>
      </c>
      <c r="E657" t="s">
        <v>19</v>
      </c>
      <c r="F657">
        <v>11</v>
      </c>
      <c r="G657" s="3">
        <v>15835.56</v>
      </c>
      <c r="H657" s="4">
        <v>174191.16</v>
      </c>
      <c r="I657" s="18">
        <f>WEEKDAY(Table1[[#This Row],[Date]],3)</f>
        <v>5</v>
      </c>
    </row>
    <row r="658" spans="1:9" x14ac:dyDescent="0.3">
      <c r="A658" s="1">
        <v>45590</v>
      </c>
      <c r="B658" t="s">
        <v>29</v>
      </c>
      <c r="C658" t="s">
        <v>9</v>
      </c>
      <c r="D658" t="s">
        <v>21</v>
      </c>
      <c r="E658" t="s">
        <v>22</v>
      </c>
      <c r="F658">
        <v>17</v>
      </c>
      <c r="G658" s="3">
        <v>3724.38</v>
      </c>
      <c r="H658" s="4">
        <v>63314.46</v>
      </c>
      <c r="I658" s="18">
        <f>WEEKDAY(Table1[[#This Row],[Date]],3)</f>
        <v>4</v>
      </c>
    </row>
    <row r="659" spans="1:9" x14ac:dyDescent="0.3">
      <c r="A659" s="1">
        <v>45407</v>
      </c>
      <c r="B659" t="s">
        <v>23</v>
      </c>
      <c r="C659" t="s">
        <v>24</v>
      </c>
      <c r="D659" t="s">
        <v>15</v>
      </c>
      <c r="E659" t="s">
        <v>11</v>
      </c>
      <c r="F659">
        <v>7</v>
      </c>
      <c r="G659" s="3">
        <v>1501.42</v>
      </c>
      <c r="H659" s="4">
        <v>10509.94</v>
      </c>
      <c r="I659" s="18">
        <f>WEEKDAY(Table1[[#This Row],[Date]],3)</f>
        <v>3</v>
      </c>
    </row>
    <row r="660" spans="1:9" x14ac:dyDescent="0.3">
      <c r="A660" s="1">
        <v>45530</v>
      </c>
      <c r="B660" t="s">
        <v>14</v>
      </c>
      <c r="C660" t="s">
        <v>13</v>
      </c>
      <c r="D660" t="s">
        <v>18</v>
      </c>
      <c r="E660" t="s">
        <v>26</v>
      </c>
      <c r="F660">
        <v>3</v>
      </c>
      <c r="G660" s="3">
        <v>492.2</v>
      </c>
      <c r="H660" s="4">
        <v>1476.6</v>
      </c>
      <c r="I660" s="18">
        <f>WEEKDAY(Table1[[#This Row],[Date]],3)</f>
        <v>0</v>
      </c>
    </row>
    <row r="661" spans="1:9" x14ac:dyDescent="0.3">
      <c r="A661" s="1">
        <v>45584</v>
      </c>
      <c r="B661" t="s">
        <v>12</v>
      </c>
      <c r="C661" t="s">
        <v>9</v>
      </c>
      <c r="D661" t="s">
        <v>10</v>
      </c>
      <c r="E661" t="s">
        <v>26</v>
      </c>
      <c r="F661">
        <v>8</v>
      </c>
      <c r="G661" s="3">
        <v>1138.02</v>
      </c>
      <c r="H661" s="4">
        <v>9104.16</v>
      </c>
      <c r="I661" s="18">
        <f>WEEKDAY(Table1[[#This Row],[Date]],3)</f>
        <v>5</v>
      </c>
    </row>
    <row r="662" spans="1:9" x14ac:dyDescent="0.3">
      <c r="A662" s="1">
        <v>45513</v>
      </c>
      <c r="B662" t="s">
        <v>8</v>
      </c>
      <c r="C662" t="s">
        <v>13</v>
      </c>
      <c r="D662" t="s">
        <v>18</v>
      </c>
      <c r="E662" t="s">
        <v>19</v>
      </c>
      <c r="F662">
        <v>17</v>
      </c>
      <c r="G662" s="3">
        <v>1321.9</v>
      </c>
      <c r="H662" s="4">
        <v>22472.3</v>
      </c>
      <c r="I662" s="18">
        <f>WEEKDAY(Table1[[#This Row],[Date]],3)</f>
        <v>4</v>
      </c>
    </row>
    <row r="663" spans="1:9" x14ac:dyDescent="0.3">
      <c r="A663" s="1">
        <v>45589</v>
      </c>
      <c r="B663" t="s">
        <v>27</v>
      </c>
      <c r="C663" t="s">
        <v>24</v>
      </c>
      <c r="D663" t="s">
        <v>10</v>
      </c>
      <c r="E663" t="s">
        <v>22</v>
      </c>
      <c r="F663">
        <v>18</v>
      </c>
      <c r="G663" s="3">
        <v>759.78</v>
      </c>
      <c r="H663" s="4">
        <v>13676.04</v>
      </c>
      <c r="I663" s="18">
        <f>WEEKDAY(Table1[[#This Row],[Date]],3)</f>
        <v>3</v>
      </c>
    </row>
    <row r="664" spans="1:9" x14ac:dyDescent="0.3">
      <c r="A664" s="1">
        <v>45349</v>
      </c>
      <c r="B664" t="s">
        <v>17</v>
      </c>
      <c r="C664" t="s">
        <v>13</v>
      </c>
      <c r="D664" t="s">
        <v>21</v>
      </c>
      <c r="E664" t="s">
        <v>22</v>
      </c>
      <c r="F664">
        <v>6</v>
      </c>
      <c r="G664" s="3">
        <v>3163.58</v>
      </c>
      <c r="H664" s="4">
        <v>18981.48</v>
      </c>
      <c r="I664" s="18">
        <f>WEEKDAY(Table1[[#This Row],[Date]],3)</f>
        <v>1</v>
      </c>
    </row>
    <row r="665" spans="1:9" x14ac:dyDescent="0.3">
      <c r="A665" s="1">
        <v>45343</v>
      </c>
      <c r="B665" t="s">
        <v>28</v>
      </c>
      <c r="C665" t="s">
        <v>13</v>
      </c>
      <c r="D665" t="s">
        <v>18</v>
      </c>
      <c r="E665" t="s">
        <v>26</v>
      </c>
      <c r="F665">
        <v>8</v>
      </c>
      <c r="G665" s="3">
        <v>768.66</v>
      </c>
      <c r="H665" s="4">
        <v>6149.28</v>
      </c>
      <c r="I665" s="18">
        <f>WEEKDAY(Table1[[#This Row],[Date]],3)</f>
        <v>2</v>
      </c>
    </row>
    <row r="666" spans="1:9" x14ac:dyDescent="0.3">
      <c r="A666" s="1">
        <v>45527</v>
      </c>
      <c r="B666" t="s">
        <v>14</v>
      </c>
      <c r="C666" t="s">
        <v>13</v>
      </c>
      <c r="D666" t="s">
        <v>21</v>
      </c>
      <c r="E666" t="s">
        <v>11</v>
      </c>
      <c r="F666">
        <v>14</v>
      </c>
      <c r="G666" s="3">
        <v>647.01</v>
      </c>
      <c r="H666" s="4">
        <v>9058.14</v>
      </c>
      <c r="I666" s="18">
        <f>WEEKDAY(Table1[[#This Row],[Date]],3)</f>
        <v>4</v>
      </c>
    </row>
    <row r="667" spans="1:9" x14ac:dyDescent="0.3">
      <c r="A667" s="1">
        <v>45384</v>
      </c>
      <c r="B667" t="s">
        <v>14</v>
      </c>
      <c r="C667" t="s">
        <v>24</v>
      </c>
      <c r="D667" t="s">
        <v>10</v>
      </c>
      <c r="E667" t="s">
        <v>19</v>
      </c>
      <c r="F667">
        <v>17</v>
      </c>
      <c r="G667" s="3">
        <v>547.33000000000004</v>
      </c>
      <c r="H667" s="4">
        <v>9304.61</v>
      </c>
      <c r="I667" s="18">
        <f>WEEKDAY(Table1[[#This Row],[Date]],3)</f>
        <v>1</v>
      </c>
    </row>
    <row r="668" spans="1:9" x14ac:dyDescent="0.3">
      <c r="A668" s="1">
        <v>45304</v>
      </c>
      <c r="B668" t="s">
        <v>8</v>
      </c>
      <c r="C668" t="s">
        <v>9</v>
      </c>
      <c r="D668" t="s">
        <v>15</v>
      </c>
      <c r="E668" t="s">
        <v>19</v>
      </c>
      <c r="F668">
        <v>18</v>
      </c>
      <c r="G668" s="3">
        <v>1086.7</v>
      </c>
      <c r="H668" s="4">
        <v>19560.599999999999</v>
      </c>
      <c r="I668" s="18">
        <f>WEEKDAY(Table1[[#This Row],[Date]],3)</f>
        <v>5</v>
      </c>
    </row>
    <row r="669" spans="1:9" x14ac:dyDescent="0.3">
      <c r="A669" s="1">
        <v>45635</v>
      </c>
      <c r="B669" t="s">
        <v>14</v>
      </c>
      <c r="C669" t="s">
        <v>13</v>
      </c>
      <c r="D669" t="s">
        <v>15</v>
      </c>
      <c r="E669" t="s">
        <v>22</v>
      </c>
      <c r="F669">
        <v>11</v>
      </c>
      <c r="G669" s="3">
        <v>622.83000000000004</v>
      </c>
      <c r="H669" s="4">
        <v>6851.13</v>
      </c>
      <c r="I669" s="18">
        <f>WEEKDAY(Table1[[#This Row],[Date]],3)</f>
        <v>0</v>
      </c>
    </row>
    <row r="670" spans="1:9" x14ac:dyDescent="0.3">
      <c r="A670" s="1">
        <v>45387</v>
      </c>
      <c r="B670" t="s">
        <v>28</v>
      </c>
      <c r="C670" t="s">
        <v>24</v>
      </c>
      <c r="D670" t="s">
        <v>15</v>
      </c>
      <c r="E670" t="s">
        <v>11</v>
      </c>
      <c r="F670">
        <v>12</v>
      </c>
      <c r="G670" s="3">
        <v>864.18</v>
      </c>
      <c r="H670" s="4">
        <v>10370.16</v>
      </c>
      <c r="I670" s="18">
        <f>WEEKDAY(Table1[[#This Row],[Date]],3)</f>
        <v>4</v>
      </c>
    </row>
    <row r="671" spans="1:9" x14ac:dyDescent="0.3">
      <c r="A671" s="1">
        <v>45634</v>
      </c>
      <c r="B671" t="s">
        <v>25</v>
      </c>
      <c r="C671" t="s">
        <v>9</v>
      </c>
      <c r="D671" t="s">
        <v>10</v>
      </c>
      <c r="E671" t="s">
        <v>22</v>
      </c>
      <c r="F671">
        <v>10</v>
      </c>
      <c r="G671" s="3">
        <v>13037.27</v>
      </c>
      <c r="H671" s="4">
        <v>130372.7</v>
      </c>
      <c r="I671" s="18">
        <f>WEEKDAY(Table1[[#This Row],[Date]],3)</f>
        <v>6</v>
      </c>
    </row>
    <row r="672" spans="1:9" x14ac:dyDescent="0.3">
      <c r="A672" s="1">
        <v>45517</v>
      </c>
      <c r="B672" t="s">
        <v>20</v>
      </c>
      <c r="C672" t="s">
        <v>24</v>
      </c>
      <c r="D672" t="s">
        <v>18</v>
      </c>
      <c r="E672" t="s">
        <v>26</v>
      </c>
      <c r="F672">
        <v>16</v>
      </c>
      <c r="G672" s="3">
        <v>5141.71</v>
      </c>
      <c r="H672" s="4">
        <v>82267.360000000001</v>
      </c>
      <c r="I672" s="18">
        <f>WEEKDAY(Table1[[#This Row],[Date]],3)</f>
        <v>1</v>
      </c>
    </row>
    <row r="673" spans="1:9" x14ac:dyDescent="0.3">
      <c r="A673" s="1">
        <v>45397</v>
      </c>
      <c r="B673" t="s">
        <v>23</v>
      </c>
      <c r="C673" t="s">
        <v>13</v>
      </c>
      <c r="D673" t="s">
        <v>18</v>
      </c>
      <c r="E673" t="s">
        <v>26</v>
      </c>
      <c r="F673">
        <v>9</v>
      </c>
      <c r="G673" s="3">
        <v>1896.38</v>
      </c>
      <c r="H673" s="4">
        <v>17067.419999999998</v>
      </c>
      <c r="I673" s="18">
        <f>WEEKDAY(Table1[[#This Row],[Date]],3)</f>
        <v>0</v>
      </c>
    </row>
    <row r="674" spans="1:9" x14ac:dyDescent="0.3">
      <c r="A674" s="1">
        <v>45509</v>
      </c>
      <c r="B674" t="s">
        <v>28</v>
      </c>
      <c r="C674" t="s">
        <v>24</v>
      </c>
      <c r="D674" t="s">
        <v>18</v>
      </c>
      <c r="E674" t="s">
        <v>26</v>
      </c>
      <c r="F674">
        <v>12</v>
      </c>
      <c r="G674" s="3">
        <v>989.91</v>
      </c>
      <c r="H674" s="4">
        <v>11878.92</v>
      </c>
      <c r="I674" s="18">
        <f>WEEKDAY(Table1[[#This Row],[Date]],3)</f>
        <v>0</v>
      </c>
    </row>
    <row r="675" spans="1:9" x14ac:dyDescent="0.3">
      <c r="A675" s="1">
        <v>45502</v>
      </c>
      <c r="B675" t="s">
        <v>23</v>
      </c>
      <c r="C675" t="s">
        <v>9</v>
      </c>
      <c r="D675" t="s">
        <v>10</v>
      </c>
      <c r="E675" t="s">
        <v>22</v>
      </c>
      <c r="F675">
        <v>16</v>
      </c>
      <c r="G675" s="3">
        <v>1345.41</v>
      </c>
      <c r="H675" s="4">
        <v>21526.560000000001</v>
      </c>
      <c r="I675" s="18">
        <f>WEEKDAY(Table1[[#This Row],[Date]],3)</f>
        <v>0</v>
      </c>
    </row>
    <row r="676" spans="1:9" x14ac:dyDescent="0.3">
      <c r="A676" s="1">
        <v>45487</v>
      </c>
      <c r="B676" t="s">
        <v>20</v>
      </c>
      <c r="C676" t="s">
        <v>24</v>
      </c>
      <c r="D676" t="s">
        <v>21</v>
      </c>
      <c r="E676" t="s">
        <v>16</v>
      </c>
      <c r="F676">
        <v>13</v>
      </c>
      <c r="G676" s="3">
        <v>6354.33</v>
      </c>
      <c r="H676" s="4">
        <v>82606.289999999994</v>
      </c>
      <c r="I676" s="18">
        <f>WEEKDAY(Table1[[#This Row],[Date]],3)</f>
        <v>6</v>
      </c>
    </row>
    <row r="677" spans="1:9" x14ac:dyDescent="0.3">
      <c r="A677" s="1">
        <v>45520</v>
      </c>
      <c r="B677" t="s">
        <v>29</v>
      </c>
      <c r="C677" t="s">
        <v>13</v>
      </c>
      <c r="D677" t="s">
        <v>18</v>
      </c>
      <c r="E677" t="s">
        <v>26</v>
      </c>
      <c r="F677">
        <v>14</v>
      </c>
      <c r="G677" s="3">
        <v>3803.97</v>
      </c>
      <c r="H677" s="4">
        <v>53255.58</v>
      </c>
      <c r="I677" s="18">
        <f>WEEKDAY(Table1[[#This Row],[Date]],3)</f>
        <v>4</v>
      </c>
    </row>
    <row r="678" spans="1:9" x14ac:dyDescent="0.3">
      <c r="A678" s="1">
        <v>45423</v>
      </c>
      <c r="B678" t="s">
        <v>23</v>
      </c>
      <c r="C678" t="s">
        <v>9</v>
      </c>
      <c r="D678" t="s">
        <v>18</v>
      </c>
      <c r="E678" t="s">
        <v>11</v>
      </c>
      <c r="F678">
        <v>6</v>
      </c>
      <c r="G678" s="3">
        <v>1168.49</v>
      </c>
      <c r="H678" s="4">
        <v>7010.94</v>
      </c>
      <c r="I678" s="18">
        <f>WEEKDAY(Table1[[#This Row],[Date]],3)</f>
        <v>5</v>
      </c>
    </row>
    <row r="679" spans="1:9" x14ac:dyDescent="0.3">
      <c r="A679" s="1">
        <v>45411</v>
      </c>
      <c r="B679" t="s">
        <v>28</v>
      </c>
      <c r="C679" t="s">
        <v>24</v>
      </c>
      <c r="D679" t="s">
        <v>10</v>
      </c>
      <c r="E679" t="s">
        <v>19</v>
      </c>
      <c r="F679">
        <v>3</v>
      </c>
      <c r="G679" s="3">
        <v>809.7</v>
      </c>
      <c r="H679" s="4">
        <v>2429.1</v>
      </c>
      <c r="I679" s="18">
        <f>WEEKDAY(Table1[[#This Row],[Date]],3)</f>
        <v>0</v>
      </c>
    </row>
    <row r="680" spans="1:9" x14ac:dyDescent="0.3">
      <c r="A680" s="1">
        <v>45517</v>
      </c>
      <c r="B680" t="s">
        <v>29</v>
      </c>
      <c r="C680" t="s">
        <v>9</v>
      </c>
      <c r="D680" t="s">
        <v>15</v>
      </c>
      <c r="E680" t="s">
        <v>26</v>
      </c>
      <c r="F680">
        <v>6</v>
      </c>
      <c r="G680" s="3">
        <v>3236.55</v>
      </c>
      <c r="H680" s="4">
        <v>19419.3</v>
      </c>
      <c r="I680" s="18">
        <f>WEEKDAY(Table1[[#This Row],[Date]],3)</f>
        <v>1</v>
      </c>
    </row>
    <row r="681" spans="1:9" x14ac:dyDescent="0.3">
      <c r="A681" s="1">
        <v>45390</v>
      </c>
      <c r="B681" t="s">
        <v>12</v>
      </c>
      <c r="C681" t="s">
        <v>13</v>
      </c>
      <c r="D681" t="s">
        <v>21</v>
      </c>
      <c r="E681" t="s">
        <v>11</v>
      </c>
      <c r="F681">
        <v>12</v>
      </c>
      <c r="G681" s="3">
        <v>930.66</v>
      </c>
      <c r="H681" s="4">
        <v>11167.92</v>
      </c>
      <c r="I681" s="18">
        <f>WEEKDAY(Table1[[#This Row],[Date]],3)</f>
        <v>0</v>
      </c>
    </row>
    <row r="682" spans="1:9" x14ac:dyDescent="0.3">
      <c r="A682" s="1">
        <v>45578</v>
      </c>
      <c r="B682" t="s">
        <v>28</v>
      </c>
      <c r="C682" t="s">
        <v>24</v>
      </c>
      <c r="D682" t="s">
        <v>21</v>
      </c>
      <c r="E682" t="s">
        <v>26</v>
      </c>
      <c r="F682">
        <v>9</v>
      </c>
      <c r="G682" s="3">
        <v>851.59</v>
      </c>
      <c r="H682" s="4">
        <v>7664.31</v>
      </c>
      <c r="I682" s="18">
        <f>WEEKDAY(Table1[[#This Row],[Date]],3)</f>
        <v>6</v>
      </c>
    </row>
    <row r="683" spans="1:9" x14ac:dyDescent="0.3">
      <c r="A683" s="1">
        <v>45504</v>
      </c>
      <c r="B683" t="s">
        <v>12</v>
      </c>
      <c r="C683" t="s">
        <v>13</v>
      </c>
      <c r="D683" t="s">
        <v>10</v>
      </c>
      <c r="E683" t="s">
        <v>19</v>
      </c>
      <c r="F683">
        <v>13</v>
      </c>
      <c r="G683" s="3">
        <v>966.68</v>
      </c>
      <c r="H683" s="4">
        <v>12566.84</v>
      </c>
      <c r="I683" s="18">
        <f>WEEKDAY(Table1[[#This Row],[Date]],3)</f>
        <v>2</v>
      </c>
    </row>
    <row r="684" spans="1:9" x14ac:dyDescent="0.3">
      <c r="A684" s="1">
        <v>45405</v>
      </c>
      <c r="B684" t="s">
        <v>25</v>
      </c>
      <c r="C684" t="s">
        <v>9</v>
      </c>
      <c r="D684" t="s">
        <v>18</v>
      </c>
      <c r="E684" t="s">
        <v>19</v>
      </c>
      <c r="F684">
        <v>1</v>
      </c>
      <c r="G684" s="3">
        <v>15489.04</v>
      </c>
      <c r="H684" s="4">
        <v>15489.04</v>
      </c>
      <c r="I684" s="18">
        <f>WEEKDAY(Table1[[#This Row],[Date]],3)</f>
        <v>1</v>
      </c>
    </row>
    <row r="685" spans="1:9" x14ac:dyDescent="0.3">
      <c r="A685" s="1">
        <v>45564</v>
      </c>
      <c r="B685" t="s">
        <v>14</v>
      </c>
      <c r="C685" t="s">
        <v>24</v>
      </c>
      <c r="D685" t="s">
        <v>21</v>
      </c>
      <c r="E685" t="s">
        <v>22</v>
      </c>
      <c r="F685">
        <v>13</v>
      </c>
      <c r="G685" s="3">
        <v>760.08</v>
      </c>
      <c r="H685" s="4">
        <v>9881.0400000000009</v>
      </c>
      <c r="I685" s="18">
        <f>WEEKDAY(Table1[[#This Row],[Date]],3)</f>
        <v>6</v>
      </c>
    </row>
    <row r="686" spans="1:9" x14ac:dyDescent="0.3">
      <c r="A686" s="1">
        <v>45619</v>
      </c>
      <c r="B686" t="s">
        <v>14</v>
      </c>
      <c r="C686" t="s">
        <v>13</v>
      </c>
      <c r="D686" t="s">
        <v>15</v>
      </c>
      <c r="E686" t="s">
        <v>11</v>
      </c>
      <c r="F686">
        <v>13</v>
      </c>
      <c r="G686" s="3">
        <v>588.5</v>
      </c>
      <c r="H686" s="4">
        <v>7650.5</v>
      </c>
      <c r="I686" s="18">
        <f>WEEKDAY(Table1[[#This Row],[Date]],3)</f>
        <v>5</v>
      </c>
    </row>
    <row r="687" spans="1:9" x14ac:dyDescent="0.3">
      <c r="A687" s="1">
        <v>45447</v>
      </c>
      <c r="B687" t="s">
        <v>20</v>
      </c>
      <c r="C687" t="s">
        <v>9</v>
      </c>
      <c r="D687" t="s">
        <v>21</v>
      </c>
      <c r="E687" t="s">
        <v>22</v>
      </c>
      <c r="F687">
        <v>18</v>
      </c>
      <c r="G687" s="3">
        <v>5038.7700000000004</v>
      </c>
      <c r="H687" s="4">
        <v>90697.86</v>
      </c>
      <c r="I687" s="18">
        <f>WEEKDAY(Table1[[#This Row],[Date]],3)</f>
        <v>1</v>
      </c>
    </row>
    <row r="688" spans="1:9" x14ac:dyDescent="0.3">
      <c r="A688" s="1">
        <v>45577</v>
      </c>
      <c r="B688" t="s">
        <v>23</v>
      </c>
      <c r="C688" t="s">
        <v>9</v>
      </c>
      <c r="D688" t="s">
        <v>21</v>
      </c>
      <c r="E688" t="s">
        <v>22</v>
      </c>
      <c r="F688">
        <v>14</v>
      </c>
      <c r="G688" s="3">
        <v>1794.8</v>
      </c>
      <c r="H688" s="4">
        <v>25127.200000000001</v>
      </c>
      <c r="I688" s="18">
        <f>WEEKDAY(Table1[[#This Row],[Date]],3)</f>
        <v>5</v>
      </c>
    </row>
    <row r="689" spans="1:9" x14ac:dyDescent="0.3">
      <c r="A689" s="1">
        <v>45560</v>
      </c>
      <c r="B689" t="s">
        <v>28</v>
      </c>
      <c r="C689" t="s">
        <v>24</v>
      </c>
      <c r="D689" t="s">
        <v>18</v>
      </c>
      <c r="E689" t="s">
        <v>26</v>
      </c>
      <c r="F689">
        <v>8</v>
      </c>
      <c r="G689" s="3">
        <v>836.04</v>
      </c>
      <c r="H689" s="4">
        <v>6688.32</v>
      </c>
      <c r="I689" s="18">
        <f>WEEKDAY(Table1[[#This Row],[Date]],3)</f>
        <v>2</v>
      </c>
    </row>
    <row r="690" spans="1:9" x14ac:dyDescent="0.3">
      <c r="A690" s="1">
        <v>45434</v>
      </c>
      <c r="B690" t="s">
        <v>20</v>
      </c>
      <c r="C690" t="s">
        <v>24</v>
      </c>
      <c r="D690" t="s">
        <v>21</v>
      </c>
      <c r="E690" t="s">
        <v>16</v>
      </c>
      <c r="F690">
        <v>1</v>
      </c>
      <c r="G690" s="3">
        <v>6058.95</v>
      </c>
      <c r="H690" s="4">
        <v>6058.95</v>
      </c>
      <c r="I690" s="18">
        <f>WEEKDAY(Table1[[#This Row],[Date]],3)</f>
        <v>2</v>
      </c>
    </row>
    <row r="691" spans="1:9" x14ac:dyDescent="0.3">
      <c r="A691" s="1">
        <v>45428</v>
      </c>
      <c r="B691" t="s">
        <v>29</v>
      </c>
      <c r="C691" t="s">
        <v>13</v>
      </c>
      <c r="D691" t="s">
        <v>18</v>
      </c>
      <c r="E691" t="s">
        <v>19</v>
      </c>
      <c r="F691">
        <v>3</v>
      </c>
      <c r="G691" s="3">
        <v>4032.84</v>
      </c>
      <c r="H691" s="4">
        <v>12098.52</v>
      </c>
      <c r="I691" s="18">
        <f>WEEKDAY(Table1[[#This Row],[Date]],3)</f>
        <v>3</v>
      </c>
    </row>
    <row r="692" spans="1:9" x14ac:dyDescent="0.3">
      <c r="A692" s="1">
        <v>45499</v>
      </c>
      <c r="B692" t="s">
        <v>20</v>
      </c>
      <c r="C692" t="s">
        <v>13</v>
      </c>
      <c r="D692" t="s">
        <v>21</v>
      </c>
      <c r="E692" t="s">
        <v>26</v>
      </c>
      <c r="F692">
        <v>13</v>
      </c>
      <c r="G692" s="3">
        <v>3834.78</v>
      </c>
      <c r="H692" s="4">
        <v>49852.14</v>
      </c>
      <c r="I692" s="18">
        <f>WEEKDAY(Table1[[#This Row],[Date]],3)</f>
        <v>4</v>
      </c>
    </row>
    <row r="693" spans="1:9" x14ac:dyDescent="0.3">
      <c r="A693" s="1">
        <v>45363</v>
      </c>
      <c r="B693" t="s">
        <v>25</v>
      </c>
      <c r="C693" t="s">
        <v>13</v>
      </c>
      <c r="D693" t="s">
        <v>21</v>
      </c>
      <c r="E693" t="s">
        <v>22</v>
      </c>
      <c r="F693">
        <v>19</v>
      </c>
      <c r="G693" s="3">
        <v>17256.93</v>
      </c>
      <c r="H693" s="4">
        <v>327881.67</v>
      </c>
      <c r="I693" s="18">
        <f>WEEKDAY(Table1[[#This Row],[Date]],3)</f>
        <v>1</v>
      </c>
    </row>
    <row r="694" spans="1:9" x14ac:dyDescent="0.3">
      <c r="A694" s="1">
        <v>45462</v>
      </c>
      <c r="B694" t="s">
        <v>25</v>
      </c>
      <c r="C694" t="s">
        <v>9</v>
      </c>
      <c r="D694" t="s">
        <v>21</v>
      </c>
      <c r="E694" t="s">
        <v>22</v>
      </c>
      <c r="F694">
        <v>8</v>
      </c>
      <c r="G694" s="3">
        <v>18862.3</v>
      </c>
      <c r="H694" s="4">
        <v>150898.4</v>
      </c>
      <c r="I694" s="18">
        <f>WEEKDAY(Table1[[#This Row],[Date]],3)</f>
        <v>2</v>
      </c>
    </row>
    <row r="695" spans="1:9" x14ac:dyDescent="0.3">
      <c r="A695" s="1">
        <v>45633</v>
      </c>
      <c r="B695" t="s">
        <v>17</v>
      </c>
      <c r="C695" t="s">
        <v>24</v>
      </c>
      <c r="D695" t="s">
        <v>18</v>
      </c>
      <c r="E695" t="s">
        <v>16</v>
      </c>
      <c r="F695">
        <v>19</v>
      </c>
      <c r="G695" s="3">
        <v>2537.1</v>
      </c>
      <c r="H695" s="4">
        <v>48204.9</v>
      </c>
      <c r="I695" s="18">
        <f>WEEKDAY(Table1[[#This Row],[Date]],3)</f>
        <v>5</v>
      </c>
    </row>
    <row r="696" spans="1:9" x14ac:dyDescent="0.3">
      <c r="A696" s="1">
        <v>45524</v>
      </c>
      <c r="B696" t="s">
        <v>25</v>
      </c>
      <c r="C696" t="s">
        <v>13</v>
      </c>
      <c r="D696" t="s">
        <v>10</v>
      </c>
      <c r="E696" t="s">
        <v>11</v>
      </c>
      <c r="F696">
        <v>17</v>
      </c>
      <c r="G696" s="3">
        <v>13489.85</v>
      </c>
      <c r="H696" s="4">
        <v>229327.45</v>
      </c>
      <c r="I696" s="18">
        <f>WEEKDAY(Table1[[#This Row],[Date]],3)</f>
        <v>1</v>
      </c>
    </row>
    <row r="697" spans="1:9" x14ac:dyDescent="0.3">
      <c r="A697" s="1">
        <v>45354</v>
      </c>
      <c r="B697" t="s">
        <v>14</v>
      </c>
      <c r="C697" t="s">
        <v>13</v>
      </c>
      <c r="D697" t="s">
        <v>10</v>
      </c>
      <c r="E697" t="s">
        <v>19</v>
      </c>
      <c r="F697">
        <v>17</v>
      </c>
      <c r="G697" s="3">
        <v>655.22</v>
      </c>
      <c r="H697" s="4">
        <v>11138.74</v>
      </c>
      <c r="I697" s="18">
        <f>WEEKDAY(Table1[[#This Row],[Date]],3)</f>
        <v>6</v>
      </c>
    </row>
    <row r="698" spans="1:9" x14ac:dyDescent="0.3">
      <c r="A698" s="1">
        <v>45475</v>
      </c>
      <c r="B698" t="s">
        <v>29</v>
      </c>
      <c r="C698" t="s">
        <v>24</v>
      </c>
      <c r="D698" t="s">
        <v>15</v>
      </c>
      <c r="E698" t="s">
        <v>16</v>
      </c>
      <c r="F698">
        <v>19</v>
      </c>
      <c r="G698" s="3">
        <v>3513.29</v>
      </c>
      <c r="H698" s="4">
        <v>66752.509999999995</v>
      </c>
      <c r="I698" s="18">
        <f>WEEKDAY(Table1[[#This Row],[Date]],3)</f>
        <v>1</v>
      </c>
    </row>
    <row r="699" spans="1:9" x14ac:dyDescent="0.3">
      <c r="A699" s="1">
        <v>45505</v>
      </c>
      <c r="B699" t="s">
        <v>12</v>
      </c>
      <c r="C699" t="s">
        <v>9</v>
      </c>
      <c r="D699" t="s">
        <v>10</v>
      </c>
      <c r="E699" t="s">
        <v>19</v>
      </c>
      <c r="F699">
        <v>13</v>
      </c>
      <c r="G699" s="3">
        <v>635.54999999999995</v>
      </c>
      <c r="H699" s="4">
        <v>8262.15</v>
      </c>
      <c r="I699" s="18">
        <f>WEEKDAY(Table1[[#This Row],[Date]],3)</f>
        <v>3</v>
      </c>
    </row>
    <row r="700" spans="1:9" x14ac:dyDescent="0.3">
      <c r="A700" s="1">
        <v>45579</v>
      </c>
      <c r="B700" t="s">
        <v>25</v>
      </c>
      <c r="C700" t="s">
        <v>9</v>
      </c>
      <c r="D700" t="s">
        <v>21</v>
      </c>
      <c r="E700" t="s">
        <v>19</v>
      </c>
      <c r="F700">
        <v>14</v>
      </c>
      <c r="G700" s="3">
        <v>17650.330000000002</v>
      </c>
      <c r="H700" s="4">
        <v>247104.62</v>
      </c>
      <c r="I700" s="18">
        <f>WEEKDAY(Table1[[#This Row],[Date]],3)</f>
        <v>0</v>
      </c>
    </row>
    <row r="701" spans="1:9" x14ac:dyDescent="0.3">
      <c r="A701" s="1">
        <v>45543</v>
      </c>
      <c r="B701" t="s">
        <v>27</v>
      </c>
      <c r="C701" t="s">
        <v>24</v>
      </c>
      <c r="D701" t="s">
        <v>21</v>
      </c>
      <c r="E701" t="s">
        <v>11</v>
      </c>
      <c r="F701">
        <v>1</v>
      </c>
      <c r="G701" s="3">
        <v>602.72</v>
      </c>
      <c r="H701" s="4">
        <v>602.72</v>
      </c>
      <c r="I701" s="18">
        <f>WEEKDAY(Table1[[#This Row],[Date]],3)</f>
        <v>6</v>
      </c>
    </row>
    <row r="702" spans="1:9" x14ac:dyDescent="0.3">
      <c r="A702" s="1">
        <v>45595</v>
      </c>
      <c r="B702" t="s">
        <v>14</v>
      </c>
      <c r="C702" t="s">
        <v>9</v>
      </c>
      <c r="D702" t="s">
        <v>10</v>
      </c>
      <c r="E702" t="s">
        <v>19</v>
      </c>
      <c r="F702">
        <v>8</v>
      </c>
      <c r="G702" s="3">
        <v>758.04</v>
      </c>
      <c r="H702" s="4">
        <v>6064.32</v>
      </c>
      <c r="I702" s="18">
        <f>WEEKDAY(Table1[[#This Row],[Date]],3)</f>
        <v>2</v>
      </c>
    </row>
    <row r="703" spans="1:9" x14ac:dyDescent="0.3">
      <c r="A703" s="1">
        <v>45428</v>
      </c>
      <c r="B703" t="s">
        <v>14</v>
      </c>
      <c r="C703" t="s">
        <v>13</v>
      </c>
      <c r="D703" t="s">
        <v>21</v>
      </c>
      <c r="E703" t="s">
        <v>16</v>
      </c>
      <c r="F703">
        <v>2</v>
      </c>
      <c r="G703" s="3">
        <v>488.18</v>
      </c>
      <c r="H703" s="4">
        <v>976.36</v>
      </c>
      <c r="I703" s="18">
        <f>WEEKDAY(Table1[[#This Row],[Date]],3)</f>
        <v>3</v>
      </c>
    </row>
    <row r="704" spans="1:9" x14ac:dyDescent="0.3">
      <c r="A704" s="1">
        <v>45409</v>
      </c>
      <c r="B704" t="s">
        <v>12</v>
      </c>
      <c r="C704" t="s">
        <v>9</v>
      </c>
      <c r="D704" t="s">
        <v>15</v>
      </c>
      <c r="E704" t="s">
        <v>19</v>
      </c>
      <c r="F704">
        <v>8</v>
      </c>
      <c r="G704" s="3">
        <v>942.06</v>
      </c>
      <c r="H704" s="4">
        <v>7536.48</v>
      </c>
      <c r="I704" s="18">
        <f>WEEKDAY(Table1[[#This Row],[Date]],3)</f>
        <v>5</v>
      </c>
    </row>
    <row r="705" spans="1:9" x14ac:dyDescent="0.3">
      <c r="A705" s="1">
        <v>45614</v>
      </c>
      <c r="B705" t="s">
        <v>14</v>
      </c>
      <c r="C705" t="s">
        <v>9</v>
      </c>
      <c r="D705" t="s">
        <v>10</v>
      </c>
      <c r="E705" t="s">
        <v>22</v>
      </c>
      <c r="F705">
        <v>16</v>
      </c>
      <c r="G705" s="3">
        <v>702.31</v>
      </c>
      <c r="H705" s="4">
        <v>11236.96</v>
      </c>
      <c r="I705" s="18">
        <f>WEEKDAY(Table1[[#This Row],[Date]],3)</f>
        <v>0</v>
      </c>
    </row>
    <row r="706" spans="1:9" x14ac:dyDescent="0.3">
      <c r="A706" s="1">
        <v>45454</v>
      </c>
      <c r="B706" t="s">
        <v>20</v>
      </c>
      <c r="C706" t="s">
        <v>9</v>
      </c>
      <c r="D706" t="s">
        <v>21</v>
      </c>
      <c r="E706" t="s">
        <v>22</v>
      </c>
      <c r="F706">
        <v>15</v>
      </c>
      <c r="G706" s="3">
        <v>4707.22</v>
      </c>
      <c r="H706" s="4">
        <v>70608.3</v>
      </c>
      <c r="I706" s="18">
        <f>WEEKDAY(Table1[[#This Row],[Date]],3)</f>
        <v>1</v>
      </c>
    </row>
    <row r="707" spans="1:9" x14ac:dyDescent="0.3">
      <c r="A707" s="1">
        <v>45642</v>
      </c>
      <c r="B707" t="s">
        <v>17</v>
      </c>
      <c r="C707" t="s">
        <v>13</v>
      </c>
      <c r="D707" t="s">
        <v>21</v>
      </c>
      <c r="E707" t="s">
        <v>26</v>
      </c>
      <c r="F707">
        <v>2</v>
      </c>
      <c r="G707" s="3">
        <v>2026.95</v>
      </c>
      <c r="H707" s="4">
        <v>4053.9</v>
      </c>
      <c r="I707" s="18">
        <f>WEEKDAY(Table1[[#This Row],[Date]],3)</f>
        <v>0</v>
      </c>
    </row>
    <row r="708" spans="1:9" x14ac:dyDescent="0.3">
      <c r="A708" s="1">
        <v>45440</v>
      </c>
      <c r="B708" t="s">
        <v>20</v>
      </c>
      <c r="C708" t="s">
        <v>9</v>
      </c>
      <c r="D708" t="s">
        <v>21</v>
      </c>
      <c r="E708" t="s">
        <v>16</v>
      </c>
      <c r="F708">
        <v>1</v>
      </c>
      <c r="G708" s="3">
        <v>3850.77</v>
      </c>
      <c r="H708" s="4">
        <v>3850.77</v>
      </c>
      <c r="I708" s="18">
        <f>WEEKDAY(Table1[[#This Row],[Date]],3)</f>
        <v>1</v>
      </c>
    </row>
    <row r="709" spans="1:9" x14ac:dyDescent="0.3">
      <c r="A709" s="1">
        <v>45544</v>
      </c>
      <c r="B709" t="s">
        <v>12</v>
      </c>
      <c r="C709" t="s">
        <v>24</v>
      </c>
      <c r="D709" t="s">
        <v>15</v>
      </c>
      <c r="E709" t="s">
        <v>19</v>
      </c>
      <c r="F709">
        <v>15</v>
      </c>
      <c r="G709" s="3">
        <v>864.28</v>
      </c>
      <c r="H709" s="4">
        <v>12964.2</v>
      </c>
      <c r="I709" s="18">
        <f>WEEKDAY(Table1[[#This Row],[Date]],3)</f>
        <v>0</v>
      </c>
    </row>
    <row r="710" spans="1:9" x14ac:dyDescent="0.3">
      <c r="A710" s="1">
        <v>45568</v>
      </c>
      <c r="B710" t="s">
        <v>14</v>
      </c>
      <c r="C710" t="s">
        <v>9</v>
      </c>
      <c r="D710" t="s">
        <v>15</v>
      </c>
      <c r="E710" t="s">
        <v>16</v>
      </c>
      <c r="F710">
        <v>6</v>
      </c>
      <c r="G710" s="3">
        <v>744.87</v>
      </c>
      <c r="H710" s="4">
        <v>4469.22</v>
      </c>
      <c r="I710" s="18">
        <f>WEEKDAY(Table1[[#This Row],[Date]],3)</f>
        <v>3</v>
      </c>
    </row>
    <row r="711" spans="1:9" x14ac:dyDescent="0.3">
      <c r="A711" s="1">
        <v>45403</v>
      </c>
      <c r="B711" t="s">
        <v>23</v>
      </c>
      <c r="C711" t="s">
        <v>13</v>
      </c>
      <c r="D711" t="s">
        <v>15</v>
      </c>
      <c r="E711" t="s">
        <v>16</v>
      </c>
      <c r="F711">
        <v>3</v>
      </c>
      <c r="G711" s="3">
        <v>1559.94</v>
      </c>
      <c r="H711" s="4">
        <v>4679.82</v>
      </c>
      <c r="I711" s="18">
        <f>WEEKDAY(Table1[[#This Row],[Date]],3)</f>
        <v>6</v>
      </c>
    </row>
    <row r="712" spans="1:9" x14ac:dyDescent="0.3">
      <c r="A712" s="1">
        <v>45442</v>
      </c>
      <c r="B712" t="s">
        <v>27</v>
      </c>
      <c r="C712" t="s">
        <v>24</v>
      </c>
      <c r="D712" t="s">
        <v>15</v>
      </c>
      <c r="E712" t="s">
        <v>26</v>
      </c>
      <c r="F712">
        <v>17</v>
      </c>
      <c r="G712" s="3">
        <v>599.71</v>
      </c>
      <c r="H712" s="4">
        <v>10195.07</v>
      </c>
      <c r="I712" s="18">
        <f>WEEKDAY(Table1[[#This Row],[Date]],3)</f>
        <v>3</v>
      </c>
    </row>
    <row r="713" spans="1:9" x14ac:dyDescent="0.3">
      <c r="A713" s="1">
        <v>45494</v>
      </c>
      <c r="B713" t="s">
        <v>28</v>
      </c>
      <c r="C713" t="s">
        <v>24</v>
      </c>
      <c r="D713" t="s">
        <v>18</v>
      </c>
      <c r="E713" t="s">
        <v>16</v>
      </c>
      <c r="F713">
        <v>5</v>
      </c>
      <c r="G713" s="3">
        <v>771.23</v>
      </c>
      <c r="H713" s="4">
        <v>3856.15</v>
      </c>
      <c r="I713" s="18">
        <f>WEEKDAY(Table1[[#This Row],[Date]],3)</f>
        <v>6</v>
      </c>
    </row>
    <row r="714" spans="1:9" x14ac:dyDescent="0.3">
      <c r="A714" s="1">
        <v>45528</v>
      </c>
      <c r="B714" t="s">
        <v>29</v>
      </c>
      <c r="C714" t="s">
        <v>9</v>
      </c>
      <c r="D714" t="s">
        <v>18</v>
      </c>
      <c r="E714" t="s">
        <v>26</v>
      </c>
      <c r="F714">
        <v>16</v>
      </c>
      <c r="G714" s="3">
        <v>4095.35</v>
      </c>
      <c r="H714" s="4">
        <v>65525.599999999999</v>
      </c>
      <c r="I714" s="18">
        <f>WEEKDAY(Table1[[#This Row],[Date]],3)</f>
        <v>5</v>
      </c>
    </row>
    <row r="715" spans="1:9" x14ac:dyDescent="0.3">
      <c r="A715" s="1">
        <v>45651</v>
      </c>
      <c r="B715" t="s">
        <v>27</v>
      </c>
      <c r="C715" t="s">
        <v>24</v>
      </c>
      <c r="D715" t="s">
        <v>10</v>
      </c>
      <c r="E715" t="s">
        <v>19</v>
      </c>
      <c r="F715">
        <v>12</v>
      </c>
      <c r="G715" s="3">
        <v>609.57000000000005</v>
      </c>
      <c r="H715" s="4">
        <v>7314.84</v>
      </c>
      <c r="I715" s="18">
        <f>WEEKDAY(Table1[[#This Row],[Date]],3)</f>
        <v>2</v>
      </c>
    </row>
    <row r="716" spans="1:9" x14ac:dyDescent="0.3">
      <c r="A716" s="1">
        <v>45381</v>
      </c>
      <c r="B716" t="s">
        <v>14</v>
      </c>
      <c r="C716" t="s">
        <v>13</v>
      </c>
      <c r="D716" t="s">
        <v>21</v>
      </c>
      <c r="E716" t="s">
        <v>16</v>
      </c>
      <c r="F716">
        <v>9</v>
      </c>
      <c r="G716" s="3">
        <v>431.44</v>
      </c>
      <c r="H716" s="4">
        <v>3882.96</v>
      </c>
      <c r="I716" s="18">
        <f>WEEKDAY(Table1[[#This Row],[Date]],3)</f>
        <v>5</v>
      </c>
    </row>
    <row r="717" spans="1:9" x14ac:dyDescent="0.3">
      <c r="A717" s="1">
        <v>45477</v>
      </c>
      <c r="B717" t="s">
        <v>28</v>
      </c>
      <c r="C717" t="s">
        <v>13</v>
      </c>
      <c r="D717" t="s">
        <v>15</v>
      </c>
      <c r="E717" t="s">
        <v>19</v>
      </c>
      <c r="F717">
        <v>12</v>
      </c>
      <c r="G717" s="3">
        <v>1014.15</v>
      </c>
      <c r="H717" s="4">
        <v>12169.8</v>
      </c>
      <c r="I717" s="18">
        <f>WEEKDAY(Table1[[#This Row],[Date]],3)</f>
        <v>3</v>
      </c>
    </row>
    <row r="718" spans="1:9" x14ac:dyDescent="0.3">
      <c r="A718" s="1">
        <v>45569</v>
      </c>
      <c r="B718" t="s">
        <v>14</v>
      </c>
      <c r="C718" t="s">
        <v>9</v>
      </c>
      <c r="D718" t="s">
        <v>10</v>
      </c>
      <c r="E718" t="s">
        <v>26</v>
      </c>
      <c r="F718">
        <v>1</v>
      </c>
      <c r="G718" s="3">
        <v>469.64</v>
      </c>
      <c r="H718" s="4">
        <v>469.64</v>
      </c>
      <c r="I718" s="18">
        <f>WEEKDAY(Table1[[#This Row],[Date]],3)</f>
        <v>4</v>
      </c>
    </row>
    <row r="719" spans="1:9" x14ac:dyDescent="0.3">
      <c r="A719" s="1">
        <v>45473</v>
      </c>
      <c r="B719" t="s">
        <v>12</v>
      </c>
      <c r="C719" t="s">
        <v>9</v>
      </c>
      <c r="D719" t="s">
        <v>10</v>
      </c>
      <c r="E719" t="s">
        <v>26</v>
      </c>
      <c r="F719">
        <v>6</v>
      </c>
      <c r="G719" s="3">
        <v>1113.78</v>
      </c>
      <c r="H719" s="4">
        <v>6682.68</v>
      </c>
      <c r="I719" s="18">
        <f>WEEKDAY(Table1[[#This Row],[Date]],3)</f>
        <v>6</v>
      </c>
    </row>
    <row r="720" spans="1:9" x14ac:dyDescent="0.3">
      <c r="A720" s="1">
        <v>45499</v>
      </c>
      <c r="B720" t="s">
        <v>14</v>
      </c>
      <c r="C720" t="s">
        <v>24</v>
      </c>
      <c r="D720" t="s">
        <v>10</v>
      </c>
      <c r="E720" t="s">
        <v>26</v>
      </c>
      <c r="F720">
        <v>17</v>
      </c>
      <c r="G720" s="3">
        <v>620.63</v>
      </c>
      <c r="H720" s="4">
        <v>10550.71</v>
      </c>
      <c r="I720" s="18">
        <f>WEEKDAY(Table1[[#This Row],[Date]],3)</f>
        <v>4</v>
      </c>
    </row>
    <row r="721" spans="1:9" x14ac:dyDescent="0.3">
      <c r="A721" s="1">
        <v>45432</v>
      </c>
      <c r="B721" t="s">
        <v>25</v>
      </c>
      <c r="C721" t="s">
        <v>24</v>
      </c>
      <c r="D721" t="s">
        <v>18</v>
      </c>
      <c r="E721" t="s">
        <v>16</v>
      </c>
      <c r="F721">
        <v>6</v>
      </c>
      <c r="G721" s="3">
        <v>15591.19</v>
      </c>
      <c r="H721" s="4">
        <v>93547.14</v>
      </c>
      <c r="I721" s="18">
        <f>WEEKDAY(Table1[[#This Row],[Date]],3)</f>
        <v>0</v>
      </c>
    </row>
    <row r="722" spans="1:9" x14ac:dyDescent="0.3">
      <c r="A722" s="1">
        <v>45305</v>
      </c>
      <c r="B722" t="s">
        <v>14</v>
      </c>
      <c r="C722" t="s">
        <v>9</v>
      </c>
      <c r="D722" t="s">
        <v>10</v>
      </c>
      <c r="E722" t="s">
        <v>16</v>
      </c>
      <c r="F722">
        <v>13</v>
      </c>
      <c r="G722" s="3">
        <v>585.28</v>
      </c>
      <c r="H722" s="4">
        <v>7608.64</v>
      </c>
      <c r="I722" s="18">
        <f>WEEKDAY(Table1[[#This Row],[Date]],3)</f>
        <v>6</v>
      </c>
    </row>
    <row r="723" spans="1:9" x14ac:dyDescent="0.3">
      <c r="A723" s="1">
        <v>45536</v>
      </c>
      <c r="B723" t="s">
        <v>14</v>
      </c>
      <c r="C723" t="s">
        <v>13</v>
      </c>
      <c r="D723" t="s">
        <v>21</v>
      </c>
      <c r="E723" t="s">
        <v>16</v>
      </c>
      <c r="F723">
        <v>17</v>
      </c>
      <c r="G723" s="3">
        <v>571.47</v>
      </c>
      <c r="H723" s="4">
        <v>9714.99</v>
      </c>
      <c r="I723" s="18">
        <f>WEEKDAY(Table1[[#This Row],[Date]],3)</f>
        <v>6</v>
      </c>
    </row>
    <row r="724" spans="1:9" x14ac:dyDescent="0.3">
      <c r="A724" s="1">
        <v>45317</v>
      </c>
      <c r="B724" t="s">
        <v>28</v>
      </c>
      <c r="C724" t="s">
        <v>24</v>
      </c>
      <c r="D724" t="s">
        <v>21</v>
      </c>
      <c r="E724" t="s">
        <v>11</v>
      </c>
      <c r="F724">
        <v>18</v>
      </c>
      <c r="G724" s="3">
        <v>1282.69</v>
      </c>
      <c r="H724" s="4">
        <v>23088.42</v>
      </c>
      <c r="I724" s="18">
        <f>WEEKDAY(Table1[[#This Row],[Date]],3)</f>
        <v>4</v>
      </c>
    </row>
    <row r="725" spans="1:9" x14ac:dyDescent="0.3">
      <c r="A725" s="1">
        <v>45564</v>
      </c>
      <c r="B725" t="s">
        <v>20</v>
      </c>
      <c r="C725" t="s">
        <v>24</v>
      </c>
      <c r="D725" t="s">
        <v>15</v>
      </c>
      <c r="E725" t="s">
        <v>16</v>
      </c>
      <c r="F725">
        <v>7</v>
      </c>
      <c r="G725" s="3">
        <v>4753</v>
      </c>
      <c r="H725" s="4">
        <v>33271</v>
      </c>
      <c r="I725" s="18">
        <f>WEEKDAY(Table1[[#This Row],[Date]],3)</f>
        <v>6</v>
      </c>
    </row>
    <row r="726" spans="1:9" x14ac:dyDescent="0.3">
      <c r="A726" s="1">
        <v>45310</v>
      </c>
      <c r="B726" t="s">
        <v>27</v>
      </c>
      <c r="C726" t="s">
        <v>9</v>
      </c>
      <c r="D726" t="s">
        <v>10</v>
      </c>
      <c r="E726" t="s">
        <v>11</v>
      </c>
      <c r="F726">
        <v>4</v>
      </c>
      <c r="G726" s="3">
        <v>887.05</v>
      </c>
      <c r="H726" s="4">
        <v>3548.2</v>
      </c>
      <c r="I726" s="18">
        <f>WEEKDAY(Table1[[#This Row],[Date]],3)</f>
        <v>4</v>
      </c>
    </row>
    <row r="727" spans="1:9" x14ac:dyDescent="0.3">
      <c r="A727" s="1">
        <v>45413</v>
      </c>
      <c r="B727" t="s">
        <v>14</v>
      </c>
      <c r="C727" t="s">
        <v>9</v>
      </c>
      <c r="D727" t="s">
        <v>18</v>
      </c>
      <c r="E727" t="s">
        <v>26</v>
      </c>
      <c r="F727">
        <v>7</v>
      </c>
      <c r="G727" s="3">
        <v>511.92</v>
      </c>
      <c r="H727" s="4">
        <v>3583.44</v>
      </c>
      <c r="I727" s="18">
        <f>WEEKDAY(Table1[[#This Row],[Date]],3)</f>
        <v>2</v>
      </c>
    </row>
    <row r="728" spans="1:9" x14ac:dyDescent="0.3">
      <c r="A728" s="1">
        <v>45356</v>
      </c>
      <c r="B728" t="s">
        <v>27</v>
      </c>
      <c r="C728" t="s">
        <v>9</v>
      </c>
      <c r="D728" t="s">
        <v>15</v>
      </c>
      <c r="E728" t="s">
        <v>22</v>
      </c>
      <c r="F728">
        <v>14</v>
      </c>
      <c r="G728" s="3">
        <v>693.49</v>
      </c>
      <c r="H728" s="4">
        <v>9708.86</v>
      </c>
      <c r="I728" s="18">
        <f>WEEKDAY(Table1[[#This Row],[Date]],3)</f>
        <v>1</v>
      </c>
    </row>
    <row r="729" spans="1:9" x14ac:dyDescent="0.3">
      <c r="A729" s="1">
        <v>45530</v>
      </c>
      <c r="B729" t="s">
        <v>8</v>
      </c>
      <c r="C729" t="s">
        <v>13</v>
      </c>
      <c r="D729" t="s">
        <v>21</v>
      </c>
      <c r="E729" t="s">
        <v>19</v>
      </c>
      <c r="F729">
        <v>16</v>
      </c>
      <c r="G729" s="3">
        <v>870.18</v>
      </c>
      <c r="H729" s="4">
        <v>13922.88</v>
      </c>
      <c r="I729" s="18">
        <f>WEEKDAY(Table1[[#This Row],[Date]],3)</f>
        <v>0</v>
      </c>
    </row>
    <row r="730" spans="1:9" x14ac:dyDescent="0.3">
      <c r="A730" s="1">
        <v>45637</v>
      </c>
      <c r="B730" t="s">
        <v>17</v>
      </c>
      <c r="C730" t="s">
        <v>13</v>
      </c>
      <c r="D730" t="s">
        <v>10</v>
      </c>
      <c r="E730" t="s">
        <v>11</v>
      </c>
      <c r="F730">
        <v>9</v>
      </c>
      <c r="G730" s="3">
        <v>2219.58</v>
      </c>
      <c r="H730" s="4">
        <v>19976.22</v>
      </c>
      <c r="I730" s="18">
        <f>WEEKDAY(Table1[[#This Row],[Date]],3)</f>
        <v>2</v>
      </c>
    </row>
    <row r="731" spans="1:9" x14ac:dyDescent="0.3">
      <c r="A731" s="1">
        <v>45555</v>
      </c>
      <c r="B731" t="s">
        <v>23</v>
      </c>
      <c r="C731" t="s">
        <v>13</v>
      </c>
      <c r="D731" t="s">
        <v>10</v>
      </c>
      <c r="E731" t="s">
        <v>22</v>
      </c>
      <c r="F731">
        <v>16</v>
      </c>
      <c r="G731" s="3">
        <v>1412.89</v>
      </c>
      <c r="H731" s="4">
        <v>22606.240000000002</v>
      </c>
      <c r="I731" s="18">
        <f>WEEKDAY(Table1[[#This Row],[Date]],3)</f>
        <v>4</v>
      </c>
    </row>
    <row r="732" spans="1:9" x14ac:dyDescent="0.3">
      <c r="A732" s="1">
        <v>45521</v>
      </c>
      <c r="B732" t="s">
        <v>17</v>
      </c>
      <c r="C732" t="s">
        <v>24</v>
      </c>
      <c r="D732" t="s">
        <v>18</v>
      </c>
      <c r="E732" t="s">
        <v>16</v>
      </c>
      <c r="F732">
        <v>7</v>
      </c>
      <c r="G732" s="3">
        <v>2847.24</v>
      </c>
      <c r="H732" s="4">
        <v>19930.68</v>
      </c>
      <c r="I732" s="18">
        <f>WEEKDAY(Table1[[#This Row],[Date]],3)</f>
        <v>5</v>
      </c>
    </row>
    <row r="733" spans="1:9" x14ac:dyDescent="0.3">
      <c r="A733" s="1">
        <v>45462</v>
      </c>
      <c r="B733" t="s">
        <v>23</v>
      </c>
      <c r="C733" t="s">
        <v>9</v>
      </c>
      <c r="D733" t="s">
        <v>15</v>
      </c>
      <c r="E733" t="s">
        <v>22</v>
      </c>
      <c r="F733">
        <v>14</v>
      </c>
      <c r="G733" s="3">
        <v>1146.8499999999999</v>
      </c>
      <c r="H733" s="4">
        <v>16055.9</v>
      </c>
      <c r="I733" s="18">
        <f>WEEKDAY(Table1[[#This Row],[Date]],3)</f>
        <v>2</v>
      </c>
    </row>
    <row r="734" spans="1:9" x14ac:dyDescent="0.3">
      <c r="A734" s="1">
        <v>45384</v>
      </c>
      <c r="B734" t="s">
        <v>23</v>
      </c>
      <c r="C734" t="s">
        <v>24</v>
      </c>
      <c r="D734" t="s">
        <v>21</v>
      </c>
      <c r="E734" t="s">
        <v>22</v>
      </c>
      <c r="F734">
        <v>18</v>
      </c>
      <c r="G734" s="3">
        <v>1274.55</v>
      </c>
      <c r="H734" s="4">
        <v>22941.9</v>
      </c>
      <c r="I734" s="18">
        <f>WEEKDAY(Table1[[#This Row],[Date]],3)</f>
        <v>1</v>
      </c>
    </row>
    <row r="735" spans="1:9" x14ac:dyDescent="0.3">
      <c r="A735" s="1">
        <v>45387</v>
      </c>
      <c r="B735" t="s">
        <v>20</v>
      </c>
      <c r="C735" t="s">
        <v>9</v>
      </c>
      <c r="D735" t="s">
        <v>15</v>
      </c>
      <c r="E735" t="s">
        <v>19</v>
      </c>
      <c r="F735">
        <v>6</v>
      </c>
      <c r="G735" s="3">
        <v>4475.63</v>
      </c>
      <c r="H735" s="4">
        <v>26853.78</v>
      </c>
      <c r="I735" s="18">
        <f>WEEKDAY(Table1[[#This Row],[Date]],3)</f>
        <v>4</v>
      </c>
    </row>
    <row r="736" spans="1:9" x14ac:dyDescent="0.3">
      <c r="A736" s="1">
        <v>45614</v>
      </c>
      <c r="B736" t="s">
        <v>12</v>
      </c>
      <c r="C736" t="s">
        <v>13</v>
      </c>
      <c r="D736" t="s">
        <v>10</v>
      </c>
      <c r="E736" t="s">
        <v>26</v>
      </c>
      <c r="F736">
        <v>4</v>
      </c>
      <c r="G736" s="3">
        <v>805.15</v>
      </c>
      <c r="H736" s="4">
        <v>3220.6</v>
      </c>
      <c r="I736" s="18">
        <f>WEEKDAY(Table1[[#This Row],[Date]],3)</f>
        <v>0</v>
      </c>
    </row>
    <row r="737" spans="1:9" x14ac:dyDescent="0.3">
      <c r="A737" s="1">
        <v>45628</v>
      </c>
      <c r="B737" t="s">
        <v>20</v>
      </c>
      <c r="C737" t="s">
        <v>13</v>
      </c>
      <c r="D737" t="s">
        <v>18</v>
      </c>
      <c r="E737" t="s">
        <v>11</v>
      </c>
      <c r="F737">
        <v>1</v>
      </c>
      <c r="G737" s="3">
        <v>4700.6400000000003</v>
      </c>
      <c r="H737" s="4">
        <v>4700.6400000000003</v>
      </c>
      <c r="I737" s="18">
        <f>WEEKDAY(Table1[[#This Row],[Date]],3)</f>
        <v>0</v>
      </c>
    </row>
    <row r="738" spans="1:9" x14ac:dyDescent="0.3">
      <c r="A738" s="1">
        <v>45538</v>
      </c>
      <c r="B738" t="s">
        <v>12</v>
      </c>
      <c r="C738" t="s">
        <v>13</v>
      </c>
      <c r="D738" t="s">
        <v>18</v>
      </c>
      <c r="E738" t="s">
        <v>19</v>
      </c>
      <c r="F738">
        <v>12</v>
      </c>
      <c r="G738" s="3">
        <v>986.13</v>
      </c>
      <c r="H738" s="4">
        <v>11833.56</v>
      </c>
      <c r="I738" s="18">
        <f>WEEKDAY(Table1[[#This Row],[Date]],3)</f>
        <v>1</v>
      </c>
    </row>
    <row r="739" spans="1:9" x14ac:dyDescent="0.3">
      <c r="A739" s="1">
        <v>45516</v>
      </c>
      <c r="B739" t="s">
        <v>17</v>
      </c>
      <c r="C739" t="s">
        <v>9</v>
      </c>
      <c r="D739" t="s">
        <v>10</v>
      </c>
      <c r="E739" t="s">
        <v>26</v>
      </c>
      <c r="F739">
        <v>9</v>
      </c>
      <c r="G739" s="3">
        <v>2021.77</v>
      </c>
      <c r="H739" s="4">
        <v>18195.93</v>
      </c>
      <c r="I739" s="18">
        <f>WEEKDAY(Table1[[#This Row],[Date]],3)</f>
        <v>0</v>
      </c>
    </row>
    <row r="740" spans="1:9" x14ac:dyDescent="0.3">
      <c r="A740" s="1">
        <v>45374</v>
      </c>
      <c r="B740" t="s">
        <v>28</v>
      </c>
      <c r="C740" t="s">
        <v>13</v>
      </c>
      <c r="D740" t="s">
        <v>21</v>
      </c>
      <c r="E740" t="s">
        <v>26</v>
      </c>
      <c r="F740">
        <v>2</v>
      </c>
      <c r="G740" s="3">
        <v>802.56</v>
      </c>
      <c r="H740" s="4">
        <v>1605.12</v>
      </c>
      <c r="I740" s="18">
        <f>WEEKDAY(Table1[[#This Row],[Date]],3)</f>
        <v>5</v>
      </c>
    </row>
    <row r="741" spans="1:9" x14ac:dyDescent="0.3">
      <c r="A741" s="1">
        <v>45316</v>
      </c>
      <c r="B741" t="s">
        <v>12</v>
      </c>
      <c r="C741" t="s">
        <v>24</v>
      </c>
      <c r="D741" t="s">
        <v>15</v>
      </c>
      <c r="E741" t="s">
        <v>26</v>
      </c>
      <c r="F741">
        <v>14</v>
      </c>
      <c r="G741" s="3">
        <v>842.28</v>
      </c>
      <c r="H741" s="4">
        <v>11791.92</v>
      </c>
      <c r="I741" s="18">
        <f>WEEKDAY(Table1[[#This Row],[Date]],3)</f>
        <v>3</v>
      </c>
    </row>
    <row r="742" spans="1:9" x14ac:dyDescent="0.3">
      <c r="A742" s="1">
        <v>45418</v>
      </c>
      <c r="B742" t="s">
        <v>20</v>
      </c>
      <c r="C742" t="s">
        <v>9</v>
      </c>
      <c r="D742" t="s">
        <v>15</v>
      </c>
      <c r="E742" t="s">
        <v>11</v>
      </c>
      <c r="F742">
        <v>16</v>
      </c>
      <c r="G742" s="3">
        <v>3989.06</v>
      </c>
      <c r="H742" s="4">
        <v>63824.959999999999</v>
      </c>
      <c r="I742" s="18">
        <f>WEEKDAY(Table1[[#This Row],[Date]],3)</f>
        <v>0</v>
      </c>
    </row>
    <row r="743" spans="1:9" x14ac:dyDescent="0.3">
      <c r="A743" s="1">
        <v>45390</v>
      </c>
      <c r="B743" t="s">
        <v>28</v>
      </c>
      <c r="C743" t="s">
        <v>9</v>
      </c>
      <c r="D743" t="s">
        <v>15</v>
      </c>
      <c r="E743" t="s">
        <v>16</v>
      </c>
      <c r="F743">
        <v>7</v>
      </c>
      <c r="G743" s="3">
        <v>781.28</v>
      </c>
      <c r="H743" s="4">
        <v>5468.96</v>
      </c>
      <c r="I743" s="18">
        <f>WEEKDAY(Table1[[#This Row],[Date]],3)</f>
        <v>0</v>
      </c>
    </row>
    <row r="744" spans="1:9" x14ac:dyDescent="0.3">
      <c r="A744" s="1">
        <v>45355</v>
      </c>
      <c r="B744" t="s">
        <v>17</v>
      </c>
      <c r="C744" t="s">
        <v>9</v>
      </c>
      <c r="D744" t="s">
        <v>15</v>
      </c>
      <c r="E744" t="s">
        <v>22</v>
      </c>
      <c r="F744">
        <v>11</v>
      </c>
      <c r="G744" s="3">
        <v>2380.0100000000002</v>
      </c>
      <c r="H744" s="4">
        <v>26180.11</v>
      </c>
      <c r="I744" s="18">
        <f>WEEKDAY(Table1[[#This Row],[Date]],3)</f>
        <v>0</v>
      </c>
    </row>
    <row r="745" spans="1:9" x14ac:dyDescent="0.3">
      <c r="A745" s="1">
        <v>45534</v>
      </c>
      <c r="B745" t="s">
        <v>17</v>
      </c>
      <c r="C745" t="s">
        <v>13</v>
      </c>
      <c r="D745" t="s">
        <v>18</v>
      </c>
      <c r="E745" t="s">
        <v>11</v>
      </c>
      <c r="F745">
        <v>16</v>
      </c>
      <c r="G745" s="3">
        <v>1766.95</v>
      </c>
      <c r="H745" s="4">
        <v>28271.200000000001</v>
      </c>
      <c r="I745" s="18">
        <f>WEEKDAY(Table1[[#This Row],[Date]],3)</f>
        <v>4</v>
      </c>
    </row>
    <row r="746" spans="1:9" x14ac:dyDescent="0.3">
      <c r="A746" s="1">
        <v>45655</v>
      </c>
      <c r="B746" t="s">
        <v>12</v>
      </c>
      <c r="C746" t="s">
        <v>9</v>
      </c>
      <c r="D746" t="s">
        <v>21</v>
      </c>
      <c r="E746" t="s">
        <v>22</v>
      </c>
      <c r="F746">
        <v>15</v>
      </c>
      <c r="G746" s="3">
        <v>776.61</v>
      </c>
      <c r="H746" s="4">
        <v>11649.15</v>
      </c>
      <c r="I746" s="18">
        <f>WEEKDAY(Table1[[#This Row],[Date]],3)</f>
        <v>6</v>
      </c>
    </row>
    <row r="747" spans="1:9" x14ac:dyDescent="0.3">
      <c r="A747" s="1">
        <v>45554</v>
      </c>
      <c r="B747" t="s">
        <v>23</v>
      </c>
      <c r="C747" t="s">
        <v>24</v>
      </c>
      <c r="D747" t="s">
        <v>10</v>
      </c>
      <c r="E747" t="s">
        <v>19</v>
      </c>
      <c r="F747">
        <v>12</v>
      </c>
      <c r="G747" s="3">
        <v>1419.45</v>
      </c>
      <c r="H747" s="4">
        <v>17033.400000000001</v>
      </c>
      <c r="I747" s="18">
        <f>WEEKDAY(Table1[[#This Row],[Date]],3)</f>
        <v>3</v>
      </c>
    </row>
    <row r="748" spans="1:9" x14ac:dyDescent="0.3">
      <c r="A748" s="1">
        <v>45334</v>
      </c>
      <c r="B748" t="s">
        <v>25</v>
      </c>
      <c r="C748" t="s">
        <v>13</v>
      </c>
      <c r="D748" t="s">
        <v>18</v>
      </c>
      <c r="E748" t="s">
        <v>26</v>
      </c>
      <c r="F748">
        <v>4</v>
      </c>
      <c r="G748" s="3">
        <v>17855.75</v>
      </c>
      <c r="H748" s="4">
        <v>71423</v>
      </c>
      <c r="I748" s="18">
        <f>WEEKDAY(Table1[[#This Row],[Date]],3)</f>
        <v>0</v>
      </c>
    </row>
    <row r="749" spans="1:9" x14ac:dyDescent="0.3">
      <c r="A749" s="1">
        <v>45616</v>
      </c>
      <c r="B749" t="s">
        <v>12</v>
      </c>
      <c r="C749" t="s">
        <v>24</v>
      </c>
      <c r="D749" t="s">
        <v>18</v>
      </c>
      <c r="E749" t="s">
        <v>19</v>
      </c>
      <c r="F749">
        <v>5</v>
      </c>
      <c r="G749" s="3">
        <v>675.1</v>
      </c>
      <c r="H749" s="4">
        <v>3375.5</v>
      </c>
      <c r="I749" s="18">
        <f>WEEKDAY(Table1[[#This Row],[Date]],3)</f>
        <v>2</v>
      </c>
    </row>
    <row r="750" spans="1:9" x14ac:dyDescent="0.3">
      <c r="A750" s="1">
        <v>45561</v>
      </c>
      <c r="B750" t="s">
        <v>12</v>
      </c>
      <c r="C750" t="s">
        <v>13</v>
      </c>
      <c r="D750" t="s">
        <v>18</v>
      </c>
      <c r="E750" t="s">
        <v>19</v>
      </c>
      <c r="F750">
        <v>5</v>
      </c>
      <c r="G750" s="3">
        <v>1022.87</v>
      </c>
      <c r="H750" s="4">
        <v>5114.3500000000004</v>
      </c>
      <c r="I750" s="18">
        <f>WEEKDAY(Table1[[#This Row],[Date]],3)</f>
        <v>3</v>
      </c>
    </row>
    <row r="751" spans="1:9" x14ac:dyDescent="0.3">
      <c r="A751" s="1">
        <v>45519</v>
      </c>
      <c r="B751" t="s">
        <v>8</v>
      </c>
      <c r="C751" t="s">
        <v>13</v>
      </c>
      <c r="D751" t="s">
        <v>18</v>
      </c>
      <c r="E751" t="s">
        <v>22</v>
      </c>
      <c r="F751">
        <v>5</v>
      </c>
      <c r="G751" s="3">
        <v>1387.32</v>
      </c>
      <c r="H751" s="4">
        <v>6936.6</v>
      </c>
      <c r="I751" s="18">
        <f>WEEKDAY(Table1[[#This Row],[Date]],3)</f>
        <v>3</v>
      </c>
    </row>
    <row r="752" spans="1:9" x14ac:dyDescent="0.3">
      <c r="A752" s="1">
        <v>45576</v>
      </c>
      <c r="B752" t="s">
        <v>8</v>
      </c>
      <c r="C752" t="s">
        <v>9</v>
      </c>
      <c r="D752" t="s">
        <v>15</v>
      </c>
      <c r="E752" t="s">
        <v>19</v>
      </c>
      <c r="F752">
        <v>2</v>
      </c>
      <c r="G752" s="3">
        <v>1134.0899999999999</v>
      </c>
      <c r="H752" s="4">
        <v>2268.1799999999998</v>
      </c>
      <c r="I752" s="18">
        <f>WEEKDAY(Table1[[#This Row],[Date]],3)</f>
        <v>4</v>
      </c>
    </row>
    <row r="753" spans="1:9" x14ac:dyDescent="0.3">
      <c r="A753" s="1">
        <v>45563</v>
      </c>
      <c r="B753" t="s">
        <v>17</v>
      </c>
      <c r="C753" t="s">
        <v>9</v>
      </c>
      <c r="D753" t="s">
        <v>15</v>
      </c>
      <c r="E753" t="s">
        <v>19</v>
      </c>
      <c r="F753">
        <v>13</v>
      </c>
      <c r="G753" s="3">
        <v>2256.3000000000002</v>
      </c>
      <c r="H753" s="4">
        <v>29331.9</v>
      </c>
      <c r="I753" s="18">
        <f>WEEKDAY(Table1[[#This Row],[Date]],3)</f>
        <v>5</v>
      </c>
    </row>
    <row r="754" spans="1:9" x14ac:dyDescent="0.3">
      <c r="A754" s="1">
        <v>45325</v>
      </c>
      <c r="B754" t="s">
        <v>29</v>
      </c>
      <c r="C754" t="s">
        <v>9</v>
      </c>
      <c r="D754" t="s">
        <v>21</v>
      </c>
      <c r="E754" t="s">
        <v>19</v>
      </c>
      <c r="F754">
        <v>15</v>
      </c>
      <c r="G754" s="3">
        <v>3074.3</v>
      </c>
      <c r="H754" s="4">
        <v>46114.5</v>
      </c>
      <c r="I754" s="18">
        <f>WEEKDAY(Table1[[#This Row],[Date]],3)</f>
        <v>5</v>
      </c>
    </row>
    <row r="755" spans="1:9" x14ac:dyDescent="0.3">
      <c r="A755" s="1">
        <v>45522</v>
      </c>
      <c r="B755" t="s">
        <v>27</v>
      </c>
      <c r="C755" t="s">
        <v>13</v>
      </c>
      <c r="D755" t="s">
        <v>15</v>
      </c>
      <c r="E755" t="s">
        <v>19</v>
      </c>
      <c r="F755">
        <v>15</v>
      </c>
      <c r="G755" s="3">
        <v>939.45</v>
      </c>
      <c r="H755" s="4">
        <v>14091.75</v>
      </c>
      <c r="I755" s="18">
        <f>WEEKDAY(Table1[[#This Row],[Date]],3)</f>
        <v>6</v>
      </c>
    </row>
    <row r="756" spans="1:9" x14ac:dyDescent="0.3">
      <c r="A756" s="1">
        <v>45439</v>
      </c>
      <c r="B756" t="s">
        <v>20</v>
      </c>
      <c r="C756" t="s">
        <v>24</v>
      </c>
      <c r="D756" t="s">
        <v>15</v>
      </c>
      <c r="E756" t="s">
        <v>16</v>
      </c>
      <c r="F756">
        <v>11</v>
      </c>
      <c r="G756" s="3">
        <v>4581.42</v>
      </c>
      <c r="H756" s="4">
        <v>50395.62</v>
      </c>
      <c r="I756" s="18">
        <f>WEEKDAY(Table1[[#This Row],[Date]],3)</f>
        <v>0</v>
      </c>
    </row>
    <row r="757" spans="1:9" x14ac:dyDescent="0.3">
      <c r="A757" s="1">
        <v>45615</v>
      </c>
      <c r="B757" t="s">
        <v>17</v>
      </c>
      <c r="C757" t="s">
        <v>9</v>
      </c>
      <c r="D757" t="s">
        <v>15</v>
      </c>
      <c r="E757" t="s">
        <v>26</v>
      </c>
      <c r="F757">
        <v>10</v>
      </c>
      <c r="G757" s="3">
        <v>2506.9299999999998</v>
      </c>
      <c r="H757" s="4">
        <v>25069.3</v>
      </c>
      <c r="I757" s="18">
        <f>WEEKDAY(Table1[[#This Row],[Date]],3)</f>
        <v>1</v>
      </c>
    </row>
    <row r="758" spans="1:9" x14ac:dyDescent="0.3">
      <c r="A758" s="1">
        <v>45359</v>
      </c>
      <c r="B758" t="s">
        <v>27</v>
      </c>
      <c r="C758" t="s">
        <v>24</v>
      </c>
      <c r="D758" t="s">
        <v>15</v>
      </c>
      <c r="E758" t="s">
        <v>11</v>
      </c>
      <c r="F758">
        <v>19</v>
      </c>
      <c r="G758" s="3">
        <v>1032.8800000000001</v>
      </c>
      <c r="H758" s="4">
        <v>19624.72</v>
      </c>
      <c r="I758" s="18">
        <f>WEEKDAY(Table1[[#This Row],[Date]],3)</f>
        <v>4</v>
      </c>
    </row>
    <row r="759" spans="1:9" x14ac:dyDescent="0.3">
      <c r="A759" s="1">
        <v>45579</v>
      </c>
      <c r="B759" t="s">
        <v>17</v>
      </c>
      <c r="C759" t="s">
        <v>13</v>
      </c>
      <c r="D759" t="s">
        <v>21</v>
      </c>
      <c r="E759" t="s">
        <v>22</v>
      </c>
      <c r="F759">
        <v>2</v>
      </c>
      <c r="G759" s="3">
        <v>2678.16</v>
      </c>
      <c r="H759" s="4">
        <v>5356.32</v>
      </c>
      <c r="I759" s="18">
        <f>WEEKDAY(Table1[[#This Row],[Date]],3)</f>
        <v>0</v>
      </c>
    </row>
    <row r="760" spans="1:9" x14ac:dyDescent="0.3">
      <c r="A760" s="1">
        <v>45564</v>
      </c>
      <c r="B760" t="s">
        <v>23</v>
      </c>
      <c r="C760" t="s">
        <v>9</v>
      </c>
      <c r="D760" t="s">
        <v>10</v>
      </c>
      <c r="E760" t="s">
        <v>11</v>
      </c>
      <c r="F760">
        <v>1</v>
      </c>
      <c r="G760" s="3">
        <v>1166.26</v>
      </c>
      <c r="H760" s="4">
        <v>1166.26</v>
      </c>
      <c r="I760" s="18">
        <f>WEEKDAY(Table1[[#This Row],[Date]],3)</f>
        <v>6</v>
      </c>
    </row>
    <row r="761" spans="1:9" x14ac:dyDescent="0.3">
      <c r="A761" s="1">
        <v>45632</v>
      </c>
      <c r="B761" t="s">
        <v>8</v>
      </c>
      <c r="C761" t="s">
        <v>13</v>
      </c>
      <c r="D761" t="s">
        <v>15</v>
      </c>
      <c r="E761" t="s">
        <v>22</v>
      </c>
      <c r="F761">
        <v>12</v>
      </c>
      <c r="G761" s="3">
        <v>868.9</v>
      </c>
      <c r="H761" s="4">
        <v>10426.799999999999</v>
      </c>
      <c r="I761" s="18">
        <f>WEEKDAY(Table1[[#This Row],[Date]],3)</f>
        <v>4</v>
      </c>
    </row>
    <row r="762" spans="1:9" x14ac:dyDescent="0.3">
      <c r="A762" s="1">
        <v>45516</v>
      </c>
      <c r="B762" t="s">
        <v>25</v>
      </c>
      <c r="C762" t="s">
        <v>13</v>
      </c>
      <c r="D762" t="s">
        <v>21</v>
      </c>
      <c r="E762" t="s">
        <v>16</v>
      </c>
      <c r="F762">
        <v>10</v>
      </c>
      <c r="G762" s="3">
        <v>17623.169999999998</v>
      </c>
      <c r="H762" s="4">
        <v>176231.7</v>
      </c>
      <c r="I762" s="18">
        <f>WEEKDAY(Table1[[#This Row],[Date]],3)</f>
        <v>0</v>
      </c>
    </row>
    <row r="763" spans="1:9" x14ac:dyDescent="0.3">
      <c r="A763" s="1">
        <v>45397</v>
      </c>
      <c r="B763" t="s">
        <v>14</v>
      </c>
      <c r="C763" t="s">
        <v>13</v>
      </c>
      <c r="D763" t="s">
        <v>15</v>
      </c>
      <c r="E763" t="s">
        <v>11</v>
      </c>
      <c r="F763">
        <v>8</v>
      </c>
      <c r="G763" s="3">
        <v>453.58</v>
      </c>
      <c r="H763" s="4">
        <v>3628.64</v>
      </c>
      <c r="I763" s="18">
        <f>WEEKDAY(Table1[[#This Row],[Date]],3)</f>
        <v>0</v>
      </c>
    </row>
    <row r="764" spans="1:9" x14ac:dyDescent="0.3">
      <c r="A764" s="1">
        <v>45622</v>
      </c>
      <c r="B764" t="s">
        <v>27</v>
      </c>
      <c r="C764" t="s">
        <v>13</v>
      </c>
      <c r="D764" t="s">
        <v>15</v>
      </c>
      <c r="E764" t="s">
        <v>11</v>
      </c>
      <c r="F764">
        <v>17</v>
      </c>
      <c r="G764" s="3">
        <v>1013.09</v>
      </c>
      <c r="H764" s="4">
        <v>17222.53</v>
      </c>
      <c r="I764" s="18">
        <f>WEEKDAY(Table1[[#This Row],[Date]],3)</f>
        <v>1</v>
      </c>
    </row>
    <row r="765" spans="1:9" x14ac:dyDescent="0.3">
      <c r="A765" s="1">
        <v>45596</v>
      </c>
      <c r="B765" t="s">
        <v>17</v>
      </c>
      <c r="C765" t="s">
        <v>24</v>
      </c>
      <c r="D765" t="s">
        <v>15</v>
      </c>
      <c r="E765" t="s">
        <v>19</v>
      </c>
      <c r="F765">
        <v>6</v>
      </c>
      <c r="G765" s="3">
        <v>1965.09</v>
      </c>
      <c r="H765" s="4">
        <v>11790.54</v>
      </c>
      <c r="I765" s="18">
        <f>WEEKDAY(Table1[[#This Row],[Date]],3)</f>
        <v>3</v>
      </c>
    </row>
    <row r="766" spans="1:9" x14ac:dyDescent="0.3">
      <c r="A766" s="1">
        <v>45387</v>
      </c>
      <c r="B766" t="s">
        <v>12</v>
      </c>
      <c r="C766" t="s">
        <v>24</v>
      </c>
      <c r="D766" t="s">
        <v>21</v>
      </c>
      <c r="E766" t="s">
        <v>26</v>
      </c>
      <c r="F766">
        <v>13</v>
      </c>
      <c r="G766" s="3">
        <v>987.02</v>
      </c>
      <c r="H766" s="4">
        <v>12831.26</v>
      </c>
      <c r="I766" s="18">
        <f>WEEKDAY(Table1[[#This Row],[Date]],3)</f>
        <v>4</v>
      </c>
    </row>
    <row r="767" spans="1:9" x14ac:dyDescent="0.3">
      <c r="A767" s="1">
        <v>45333</v>
      </c>
      <c r="B767" t="s">
        <v>28</v>
      </c>
      <c r="C767" t="s">
        <v>24</v>
      </c>
      <c r="D767" t="s">
        <v>21</v>
      </c>
      <c r="E767" t="s">
        <v>16</v>
      </c>
      <c r="F767">
        <v>18</v>
      </c>
      <c r="G767" s="3">
        <v>727</v>
      </c>
      <c r="H767" s="4">
        <v>13086</v>
      </c>
      <c r="I767" s="18">
        <f>WEEKDAY(Table1[[#This Row],[Date]],3)</f>
        <v>6</v>
      </c>
    </row>
    <row r="768" spans="1:9" x14ac:dyDescent="0.3">
      <c r="A768" s="1">
        <v>45332</v>
      </c>
      <c r="B768" t="s">
        <v>17</v>
      </c>
      <c r="C768" t="s">
        <v>24</v>
      </c>
      <c r="D768" t="s">
        <v>18</v>
      </c>
      <c r="E768" t="s">
        <v>22</v>
      </c>
      <c r="F768">
        <v>12</v>
      </c>
      <c r="G768" s="3">
        <v>2247.96</v>
      </c>
      <c r="H768" s="4">
        <v>26975.52</v>
      </c>
      <c r="I768" s="18">
        <f>WEEKDAY(Table1[[#This Row],[Date]],3)</f>
        <v>5</v>
      </c>
    </row>
    <row r="769" spans="1:9" x14ac:dyDescent="0.3">
      <c r="A769" s="1">
        <v>45367</v>
      </c>
      <c r="B769" t="s">
        <v>12</v>
      </c>
      <c r="C769" t="s">
        <v>9</v>
      </c>
      <c r="D769" t="s">
        <v>15</v>
      </c>
      <c r="E769" t="s">
        <v>26</v>
      </c>
      <c r="F769">
        <v>2</v>
      </c>
      <c r="G769" s="3">
        <v>1084.69</v>
      </c>
      <c r="H769" s="4">
        <v>2169.38</v>
      </c>
      <c r="I769" s="18">
        <f>WEEKDAY(Table1[[#This Row],[Date]],3)</f>
        <v>5</v>
      </c>
    </row>
    <row r="770" spans="1:9" x14ac:dyDescent="0.3">
      <c r="A770" s="1">
        <v>45330</v>
      </c>
      <c r="B770" t="s">
        <v>17</v>
      </c>
      <c r="C770" t="s">
        <v>9</v>
      </c>
      <c r="D770" t="s">
        <v>10</v>
      </c>
      <c r="E770" t="s">
        <v>19</v>
      </c>
      <c r="F770">
        <v>4</v>
      </c>
      <c r="G770" s="3">
        <v>2011.97</v>
      </c>
      <c r="H770" s="4">
        <v>8047.88</v>
      </c>
      <c r="I770" s="18">
        <f>WEEKDAY(Table1[[#This Row],[Date]],3)</f>
        <v>3</v>
      </c>
    </row>
    <row r="771" spans="1:9" x14ac:dyDescent="0.3">
      <c r="A771" s="1">
        <v>45450</v>
      </c>
      <c r="B771" t="s">
        <v>20</v>
      </c>
      <c r="C771" t="s">
        <v>24</v>
      </c>
      <c r="D771" t="s">
        <v>15</v>
      </c>
      <c r="E771" t="s">
        <v>16</v>
      </c>
      <c r="F771">
        <v>15</v>
      </c>
      <c r="G771" s="3">
        <v>6171.15</v>
      </c>
      <c r="H771" s="4">
        <v>92567.25</v>
      </c>
      <c r="I771" s="18">
        <f>WEEKDAY(Table1[[#This Row],[Date]],3)</f>
        <v>4</v>
      </c>
    </row>
    <row r="772" spans="1:9" x14ac:dyDescent="0.3">
      <c r="A772" s="1">
        <v>45447</v>
      </c>
      <c r="B772" t="s">
        <v>8</v>
      </c>
      <c r="C772" t="s">
        <v>9</v>
      </c>
      <c r="D772" t="s">
        <v>10</v>
      </c>
      <c r="E772" t="s">
        <v>16</v>
      </c>
      <c r="F772">
        <v>10</v>
      </c>
      <c r="G772" s="3">
        <v>1233.6199999999999</v>
      </c>
      <c r="H772" s="4">
        <v>12336.2</v>
      </c>
      <c r="I772" s="18">
        <f>WEEKDAY(Table1[[#This Row],[Date]],3)</f>
        <v>1</v>
      </c>
    </row>
    <row r="773" spans="1:9" x14ac:dyDescent="0.3">
      <c r="A773" s="1">
        <v>45648</v>
      </c>
      <c r="B773" t="s">
        <v>17</v>
      </c>
      <c r="C773" t="s">
        <v>24</v>
      </c>
      <c r="D773" t="s">
        <v>15</v>
      </c>
      <c r="E773" t="s">
        <v>22</v>
      </c>
      <c r="F773">
        <v>12</v>
      </c>
      <c r="G773" s="3">
        <v>1976.03</v>
      </c>
      <c r="H773" s="4">
        <v>23712.36</v>
      </c>
      <c r="I773" s="18">
        <f>WEEKDAY(Table1[[#This Row],[Date]],3)</f>
        <v>6</v>
      </c>
    </row>
    <row r="774" spans="1:9" x14ac:dyDescent="0.3">
      <c r="A774" s="1">
        <v>45327</v>
      </c>
      <c r="B774" t="s">
        <v>8</v>
      </c>
      <c r="C774" t="s">
        <v>24</v>
      </c>
      <c r="D774" t="s">
        <v>15</v>
      </c>
      <c r="E774" t="s">
        <v>16</v>
      </c>
      <c r="F774">
        <v>4</v>
      </c>
      <c r="G774" s="3">
        <v>1275.95</v>
      </c>
      <c r="H774" s="4">
        <v>5103.8</v>
      </c>
      <c r="I774" s="18">
        <f>WEEKDAY(Table1[[#This Row],[Date]],3)</f>
        <v>0</v>
      </c>
    </row>
    <row r="775" spans="1:9" x14ac:dyDescent="0.3">
      <c r="A775" s="1">
        <v>45387</v>
      </c>
      <c r="B775" t="s">
        <v>25</v>
      </c>
      <c r="C775" t="s">
        <v>9</v>
      </c>
      <c r="D775" t="s">
        <v>21</v>
      </c>
      <c r="E775" t="s">
        <v>19</v>
      </c>
      <c r="F775">
        <v>18</v>
      </c>
      <c r="G775" s="3">
        <v>15730.76</v>
      </c>
      <c r="H775" s="4">
        <v>283153.68</v>
      </c>
      <c r="I775" s="18">
        <f>WEEKDAY(Table1[[#This Row],[Date]],3)</f>
        <v>4</v>
      </c>
    </row>
    <row r="776" spans="1:9" x14ac:dyDescent="0.3">
      <c r="A776" s="1">
        <v>45442</v>
      </c>
      <c r="B776" t="s">
        <v>28</v>
      </c>
      <c r="C776" t="s">
        <v>9</v>
      </c>
      <c r="D776" t="s">
        <v>21</v>
      </c>
      <c r="E776" t="s">
        <v>11</v>
      </c>
      <c r="F776">
        <v>14</v>
      </c>
      <c r="G776" s="3">
        <v>965.42</v>
      </c>
      <c r="H776" s="4">
        <v>13515.88</v>
      </c>
      <c r="I776" s="18">
        <f>WEEKDAY(Table1[[#This Row],[Date]],3)</f>
        <v>3</v>
      </c>
    </row>
    <row r="777" spans="1:9" x14ac:dyDescent="0.3">
      <c r="A777" s="1">
        <v>45497</v>
      </c>
      <c r="B777" t="s">
        <v>29</v>
      </c>
      <c r="C777" t="s">
        <v>9</v>
      </c>
      <c r="D777" t="s">
        <v>18</v>
      </c>
      <c r="E777" t="s">
        <v>16</v>
      </c>
      <c r="F777">
        <v>7</v>
      </c>
      <c r="G777" s="3">
        <v>2715.17</v>
      </c>
      <c r="H777" s="4">
        <v>19006.189999999999</v>
      </c>
      <c r="I777" s="18">
        <f>WEEKDAY(Table1[[#This Row],[Date]],3)</f>
        <v>2</v>
      </c>
    </row>
    <row r="778" spans="1:9" x14ac:dyDescent="0.3">
      <c r="A778" s="1">
        <v>45306</v>
      </c>
      <c r="B778" t="s">
        <v>25</v>
      </c>
      <c r="C778" t="s">
        <v>9</v>
      </c>
      <c r="D778" t="s">
        <v>15</v>
      </c>
      <c r="E778" t="s">
        <v>19</v>
      </c>
      <c r="F778">
        <v>2</v>
      </c>
      <c r="G778" s="3">
        <v>13364.36</v>
      </c>
      <c r="H778" s="4">
        <v>26728.720000000001</v>
      </c>
      <c r="I778" s="18">
        <f>WEEKDAY(Table1[[#This Row],[Date]],3)</f>
        <v>0</v>
      </c>
    </row>
    <row r="779" spans="1:9" x14ac:dyDescent="0.3">
      <c r="A779" s="1">
        <v>45574</v>
      </c>
      <c r="B779" t="s">
        <v>8</v>
      </c>
      <c r="C779" t="s">
        <v>13</v>
      </c>
      <c r="D779" t="s">
        <v>21</v>
      </c>
      <c r="E779" t="s">
        <v>11</v>
      </c>
      <c r="F779">
        <v>14</v>
      </c>
      <c r="G779" s="3">
        <v>925.12</v>
      </c>
      <c r="H779" s="4">
        <v>12951.68</v>
      </c>
      <c r="I779" s="18">
        <f>WEEKDAY(Table1[[#This Row],[Date]],3)</f>
        <v>2</v>
      </c>
    </row>
    <row r="780" spans="1:9" x14ac:dyDescent="0.3">
      <c r="A780" s="1">
        <v>45644</v>
      </c>
      <c r="B780" t="s">
        <v>28</v>
      </c>
      <c r="C780" t="s">
        <v>13</v>
      </c>
      <c r="D780" t="s">
        <v>10</v>
      </c>
      <c r="E780" t="s">
        <v>26</v>
      </c>
      <c r="F780">
        <v>19</v>
      </c>
      <c r="G780" s="3">
        <v>788.93</v>
      </c>
      <c r="H780" s="4">
        <v>14989.67</v>
      </c>
      <c r="I780" s="18">
        <f>WEEKDAY(Table1[[#This Row],[Date]],3)</f>
        <v>2</v>
      </c>
    </row>
    <row r="781" spans="1:9" x14ac:dyDescent="0.3">
      <c r="A781" s="1">
        <v>45481</v>
      </c>
      <c r="B781" t="s">
        <v>23</v>
      </c>
      <c r="C781" t="s">
        <v>9</v>
      </c>
      <c r="D781" t="s">
        <v>10</v>
      </c>
      <c r="E781" t="s">
        <v>19</v>
      </c>
      <c r="F781">
        <v>3</v>
      </c>
      <c r="G781" s="3">
        <v>1858.91</v>
      </c>
      <c r="H781" s="4">
        <v>5576.73</v>
      </c>
      <c r="I781" s="18">
        <f>WEEKDAY(Table1[[#This Row],[Date]],3)</f>
        <v>0</v>
      </c>
    </row>
    <row r="782" spans="1:9" x14ac:dyDescent="0.3">
      <c r="A782" s="1">
        <v>45576</v>
      </c>
      <c r="B782" t="s">
        <v>29</v>
      </c>
      <c r="C782" t="s">
        <v>13</v>
      </c>
      <c r="D782" t="s">
        <v>18</v>
      </c>
      <c r="E782" t="s">
        <v>22</v>
      </c>
      <c r="F782">
        <v>13</v>
      </c>
      <c r="G782" s="3">
        <v>4526.55</v>
      </c>
      <c r="H782" s="4">
        <v>58845.15</v>
      </c>
      <c r="I782" s="18">
        <f>WEEKDAY(Table1[[#This Row],[Date]],3)</f>
        <v>4</v>
      </c>
    </row>
    <row r="783" spans="1:9" x14ac:dyDescent="0.3">
      <c r="A783" s="1">
        <v>45510</v>
      </c>
      <c r="B783" t="s">
        <v>20</v>
      </c>
      <c r="C783" t="s">
        <v>13</v>
      </c>
      <c r="D783" t="s">
        <v>18</v>
      </c>
      <c r="E783" t="s">
        <v>19</v>
      </c>
      <c r="F783">
        <v>12</v>
      </c>
      <c r="G783" s="3">
        <v>3789.93</v>
      </c>
      <c r="H783" s="4">
        <v>45479.16</v>
      </c>
      <c r="I783" s="18">
        <f>WEEKDAY(Table1[[#This Row],[Date]],3)</f>
        <v>1</v>
      </c>
    </row>
    <row r="784" spans="1:9" x14ac:dyDescent="0.3">
      <c r="A784" s="1">
        <v>45366</v>
      </c>
      <c r="B784" t="s">
        <v>23</v>
      </c>
      <c r="C784" t="s">
        <v>13</v>
      </c>
      <c r="D784" t="s">
        <v>15</v>
      </c>
      <c r="E784" t="s">
        <v>11</v>
      </c>
      <c r="F784">
        <v>16</v>
      </c>
      <c r="G784" s="3">
        <v>1946.01</v>
      </c>
      <c r="H784" s="4">
        <v>31136.16</v>
      </c>
      <c r="I784" s="18">
        <f>WEEKDAY(Table1[[#This Row],[Date]],3)</f>
        <v>4</v>
      </c>
    </row>
    <row r="785" spans="1:9" x14ac:dyDescent="0.3">
      <c r="A785" s="1">
        <v>45337</v>
      </c>
      <c r="B785" t="s">
        <v>27</v>
      </c>
      <c r="C785" t="s">
        <v>9</v>
      </c>
      <c r="D785" t="s">
        <v>10</v>
      </c>
      <c r="E785" t="s">
        <v>22</v>
      </c>
      <c r="F785">
        <v>15</v>
      </c>
      <c r="G785" s="3">
        <v>712.79</v>
      </c>
      <c r="H785" s="4">
        <v>10691.85</v>
      </c>
      <c r="I785" s="18">
        <f>WEEKDAY(Table1[[#This Row],[Date]],3)</f>
        <v>3</v>
      </c>
    </row>
    <row r="786" spans="1:9" x14ac:dyDescent="0.3">
      <c r="A786" s="1">
        <v>45485</v>
      </c>
      <c r="B786" t="s">
        <v>8</v>
      </c>
      <c r="C786" t="s">
        <v>24</v>
      </c>
      <c r="D786" t="s">
        <v>21</v>
      </c>
      <c r="E786" t="s">
        <v>16</v>
      </c>
      <c r="F786">
        <v>16</v>
      </c>
      <c r="G786" s="3">
        <v>935.91</v>
      </c>
      <c r="H786" s="4">
        <v>14974.56</v>
      </c>
      <c r="I786" s="18">
        <f>WEEKDAY(Table1[[#This Row],[Date]],3)</f>
        <v>4</v>
      </c>
    </row>
    <row r="787" spans="1:9" x14ac:dyDescent="0.3">
      <c r="A787" s="1">
        <v>45422</v>
      </c>
      <c r="B787" t="s">
        <v>27</v>
      </c>
      <c r="C787" t="s">
        <v>9</v>
      </c>
      <c r="D787" t="s">
        <v>10</v>
      </c>
      <c r="E787" t="s">
        <v>19</v>
      </c>
      <c r="F787">
        <v>12</v>
      </c>
      <c r="G787" s="3">
        <v>834.87</v>
      </c>
      <c r="H787" s="4">
        <v>10018.44</v>
      </c>
      <c r="I787" s="18">
        <f>WEEKDAY(Table1[[#This Row],[Date]],3)</f>
        <v>4</v>
      </c>
    </row>
    <row r="788" spans="1:9" x14ac:dyDescent="0.3">
      <c r="A788" s="1">
        <v>45567</v>
      </c>
      <c r="B788" t="s">
        <v>20</v>
      </c>
      <c r="C788" t="s">
        <v>13</v>
      </c>
      <c r="D788" t="s">
        <v>21</v>
      </c>
      <c r="E788" t="s">
        <v>11</v>
      </c>
      <c r="F788">
        <v>19</v>
      </c>
      <c r="G788" s="3">
        <v>5690.75</v>
      </c>
      <c r="H788" s="4">
        <v>108124.25</v>
      </c>
      <c r="I788" s="18">
        <f>WEEKDAY(Table1[[#This Row],[Date]],3)</f>
        <v>2</v>
      </c>
    </row>
    <row r="789" spans="1:9" x14ac:dyDescent="0.3">
      <c r="A789" s="1">
        <v>45464</v>
      </c>
      <c r="B789" t="s">
        <v>20</v>
      </c>
      <c r="C789" t="s">
        <v>24</v>
      </c>
      <c r="D789" t="s">
        <v>21</v>
      </c>
      <c r="E789" t="s">
        <v>19</v>
      </c>
      <c r="F789">
        <v>15</v>
      </c>
      <c r="G789" s="3">
        <v>5351.32</v>
      </c>
      <c r="H789" s="4">
        <v>80269.8</v>
      </c>
      <c r="I789" s="18">
        <f>WEEKDAY(Table1[[#This Row],[Date]],3)</f>
        <v>4</v>
      </c>
    </row>
    <row r="790" spans="1:9" x14ac:dyDescent="0.3">
      <c r="A790" s="1">
        <v>45633</v>
      </c>
      <c r="B790" t="s">
        <v>27</v>
      </c>
      <c r="C790" t="s">
        <v>24</v>
      </c>
      <c r="D790" t="s">
        <v>15</v>
      </c>
      <c r="E790" t="s">
        <v>11</v>
      </c>
      <c r="F790">
        <v>11</v>
      </c>
      <c r="G790" s="3">
        <v>693.37</v>
      </c>
      <c r="H790" s="4">
        <v>7627.07</v>
      </c>
      <c r="I790" s="18">
        <f>WEEKDAY(Table1[[#This Row],[Date]],3)</f>
        <v>5</v>
      </c>
    </row>
    <row r="791" spans="1:9" x14ac:dyDescent="0.3">
      <c r="A791" s="1">
        <v>45428</v>
      </c>
      <c r="B791" t="s">
        <v>8</v>
      </c>
      <c r="C791" t="s">
        <v>13</v>
      </c>
      <c r="D791" t="s">
        <v>21</v>
      </c>
      <c r="E791" t="s">
        <v>11</v>
      </c>
      <c r="F791">
        <v>12</v>
      </c>
      <c r="G791" s="3">
        <v>1181.4000000000001</v>
      </c>
      <c r="H791" s="4">
        <v>14176.8</v>
      </c>
      <c r="I791" s="18">
        <f>WEEKDAY(Table1[[#This Row],[Date]],3)</f>
        <v>3</v>
      </c>
    </row>
    <row r="792" spans="1:9" x14ac:dyDescent="0.3">
      <c r="A792" s="1">
        <v>45558</v>
      </c>
      <c r="B792" t="s">
        <v>12</v>
      </c>
      <c r="C792" t="s">
        <v>24</v>
      </c>
      <c r="D792" t="s">
        <v>10</v>
      </c>
      <c r="E792" t="s">
        <v>11</v>
      </c>
      <c r="F792">
        <v>6</v>
      </c>
      <c r="G792" s="3">
        <v>912.54</v>
      </c>
      <c r="H792" s="4">
        <v>5475.24</v>
      </c>
      <c r="I792" s="18">
        <f>WEEKDAY(Table1[[#This Row],[Date]],3)</f>
        <v>0</v>
      </c>
    </row>
    <row r="793" spans="1:9" x14ac:dyDescent="0.3">
      <c r="A793" s="1">
        <v>45566</v>
      </c>
      <c r="B793" t="s">
        <v>29</v>
      </c>
      <c r="C793" t="s">
        <v>24</v>
      </c>
      <c r="D793" t="s">
        <v>21</v>
      </c>
      <c r="E793" t="s">
        <v>26</v>
      </c>
      <c r="F793">
        <v>10</v>
      </c>
      <c r="G793" s="3">
        <v>2773.23</v>
      </c>
      <c r="H793" s="4">
        <v>27732.3</v>
      </c>
      <c r="I793" s="18">
        <f>WEEKDAY(Table1[[#This Row],[Date]],3)</f>
        <v>1</v>
      </c>
    </row>
    <row r="794" spans="1:9" x14ac:dyDescent="0.3">
      <c r="A794" s="1">
        <v>45646</v>
      </c>
      <c r="B794" t="s">
        <v>14</v>
      </c>
      <c r="C794" t="s">
        <v>13</v>
      </c>
      <c r="D794" t="s">
        <v>21</v>
      </c>
      <c r="E794" t="s">
        <v>11</v>
      </c>
      <c r="F794">
        <v>7</v>
      </c>
      <c r="G794" s="3">
        <v>587.83000000000004</v>
      </c>
      <c r="H794" s="4">
        <v>4114.8100000000004</v>
      </c>
      <c r="I794" s="18">
        <f>WEEKDAY(Table1[[#This Row],[Date]],3)</f>
        <v>4</v>
      </c>
    </row>
    <row r="795" spans="1:9" x14ac:dyDescent="0.3">
      <c r="A795" s="1">
        <v>45445</v>
      </c>
      <c r="B795" t="s">
        <v>29</v>
      </c>
      <c r="C795" t="s">
        <v>24</v>
      </c>
      <c r="D795" t="s">
        <v>21</v>
      </c>
      <c r="E795" t="s">
        <v>11</v>
      </c>
      <c r="F795">
        <v>19</v>
      </c>
      <c r="G795" s="3">
        <v>4363.8100000000004</v>
      </c>
      <c r="H795" s="4">
        <v>82912.39</v>
      </c>
      <c r="I795" s="18">
        <f>WEEKDAY(Table1[[#This Row],[Date]],3)</f>
        <v>6</v>
      </c>
    </row>
    <row r="796" spans="1:9" x14ac:dyDescent="0.3">
      <c r="A796" s="1">
        <v>45337</v>
      </c>
      <c r="B796" t="s">
        <v>28</v>
      </c>
      <c r="C796" t="s">
        <v>9</v>
      </c>
      <c r="D796" t="s">
        <v>18</v>
      </c>
      <c r="E796" t="s">
        <v>26</v>
      </c>
      <c r="F796">
        <v>4</v>
      </c>
      <c r="G796" s="3">
        <v>937.56</v>
      </c>
      <c r="H796" s="4">
        <v>3750.24</v>
      </c>
      <c r="I796" s="18">
        <f>WEEKDAY(Table1[[#This Row],[Date]],3)</f>
        <v>3</v>
      </c>
    </row>
    <row r="797" spans="1:9" x14ac:dyDescent="0.3">
      <c r="A797" s="1">
        <v>45596</v>
      </c>
      <c r="B797" t="s">
        <v>23</v>
      </c>
      <c r="C797" t="s">
        <v>24</v>
      </c>
      <c r="D797" t="s">
        <v>15</v>
      </c>
      <c r="E797" t="s">
        <v>11</v>
      </c>
      <c r="F797">
        <v>9</v>
      </c>
      <c r="G797" s="3">
        <v>1275.79</v>
      </c>
      <c r="H797" s="4">
        <v>11482.11</v>
      </c>
      <c r="I797" s="18">
        <f>WEEKDAY(Table1[[#This Row],[Date]],3)</f>
        <v>3</v>
      </c>
    </row>
    <row r="798" spans="1:9" x14ac:dyDescent="0.3">
      <c r="A798" s="1">
        <v>45570</v>
      </c>
      <c r="B798" t="s">
        <v>17</v>
      </c>
      <c r="C798" t="s">
        <v>13</v>
      </c>
      <c r="D798" t="s">
        <v>10</v>
      </c>
      <c r="E798" t="s">
        <v>26</v>
      </c>
      <c r="F798">
        <v>19</v>
      </c>
      <c r="G798" s="3">
        <v>1865.08</v>
      </c>
      <c r="H798" s="4">
        <v>35436.519999999997</v>
      </c>
      <c r="I798" s="18">
        <f>WEEKDAY(Table1[[#This Row],[Date]],3)</f>
        <v>5</v>
      </c>
    </row>
    <row r="799" spans="1:9" x14ac:dyDescent="0.3">
      <c r="A799" s="1">
        <v>45561</v>
      </c>
      <c r="B799" t="s">
        <v>27</v>
      </c>
      <c r="C799" t="s">
        <v>24</v>
      </c>
      <c r="D799" t="s">
        <v>21</v>
      </c>
      <c r="E799" t="s">
        <v>26</v>
      </c>
      <c r="F799">
        <v>3</v>
      </c>
      <c r="G799" s="3">
        <v>776.83</v>
      </c>
      <c r="H799" s="4">
        <v>2330.4899999999998</v>
      </c>
      <c r="I799" s="18">
        <f>WEEKDAY(Table1[[#This Row],[Date]],3)</f>
        <v>3</v>
      </c>
    </row>
    <row r="800" spans="1:9" x14ac:dyDescent="0.3">
      <c r="A800" s="1">
        <v>45384</v>
      </c>
      <c r="B800" t="s">
        <v>14</v>
      </c>
      <c r="C800" t="s">
        <v>9</v>
      </c>
      <c r="D800" t="s">
        <v>10</v>
      </c>
      <c r="E800" t="s">
        <v>22</v>
      </c>
      <c r="F800">
        <v>15</v>
      </c>
      <c r="G800" s="3">
        <v>641.91</v>
      </c>
      <c r="H800" s="4">
        <v>9628.65</v>
      </c>
      <c r="I800" s="18">
        <f>WEEKDAY(Table1[[#This Row],[Date]],3)</f>
        <v>1</v>
      </c>
    </row>
    <row r="801" spans="1:9" x14ac:dyDescent="0.3">
      <c r="A801" s="1">
        <v>45537</v>
      </c>
      <c r="B801" t="s">
        <v>8</v>
      </c>
      <c r="C801" t="s">
        <v>24</v>
      </c>
      <c r="D801" t="s">
        <v>15</v>
      </c>
      <c r="E801" t="s">
        <v>26</v>
      </c>
      <c r="F801">
        <v>10</v>
      </c>
      <c r="G801" s="3">
        <v>1365.95</v>
      </c>
      <c r="H801" s="4">
        <v>13659.5</v>
      </c>
      <c r="I801" s="18">
        <f>WEEKDAY(Table1[[#This Row],[Date]],3)</f>
        <v>0</v>
      </c>
    </row>
    <row r="802" spans="1:9" x14ac:dyDescent="0.3">
      <c r="A802" s="1">
        <v>45628</v>
      </c>
      <c r="B802" t="s">
        <v>17</v>
      </c>
      <c r="C802" t="s">
        <v>9</v>
      </c>
      <c r="D802" t="s">
        <v>18</v>
      </c>
      <c r="E802" t="s">
        <v>22</v>
      </c>
      <c r="F802">
        <v>10</v>
      </c>
      <c r="G802" s="3">
        <v>2143.71</v>
      </c>
      <c r="H802" s="4">
        <v>21437.1</v>
      </c>
      <c r="I802" s="18">
        <f>WEEKDAY(Table1[[#This Row],[Date]],3)</f>
        <v>0</v>
      </c>
    </row>
    <row r="803" spans="1:9" x14ac:dyDescent="0.3">
      <c r="A803" s="1">
        <v>45597</v>
      </c>
      <c r="B803" t="s">
        <v>29</v>
      </c>
      <c r="C803" t="s">
        <v>13</v>
      </c>
      <c r="D803" t="s">
        <v>21</v>
      </c>
      <c r="E803" t="s">
        <v>26</v>
      </c>
      <c r="F803">
        <v>1</v>
      </c>
      <c r="G803" s="3">
        <v>2791.33</v>
      </c>
      <c r="H803" s="4">
        <v>2791.33</v>
      </c>
      <c r="I803" s="18">
        <f>WEEKDAY(Table1[[#This Row],[Date]],3)</f>
        <v>4</v>
      </c>
    </row>
    <row r="804" spans="1:9" x14ac:dyDescent="0.3">
      <c r="A804" s="1">
        <v>45479</v>
      </c>
      <c r="B804" t="s">
        <v>17</v>
      </c>
      <c r="C804" t="s">
        <v>9</v>
      </c>
      <c r="D804" t="s">
        <v>21</v>
      </c>
      <c r="E804" t="s">
        <v>11</v>
      </c>
      <c r="F804">
        <v>4</v>
      </c>
      <c r="G804" s="3">
        <v>2578.5500000000002</v>
      </c>
      <c r="H804" s="4">
        <v>10314.200000000001</v>
      </c>
      <c r="I804" s="18">
        <f>WEEKDAY(Table1[[#This Row],[Date]],3)</f>
        <v>5</v>
      </c>
    </row>
    <row r="805" spans="1:9" x14ac:dyDescent="0.3">
      <c r="A805" s="1">
        <v>45469</v>
      </c>
      <c r="B805" t="s">
        <v>20</v>
      </c>
      <c r="C805" t="s">
        <v>9</v>
      </c>
      <c r="D805" t="s">
        <v>10</v>
      </c>
      <c r="E805" t="s">
        <v>16</v>
      </c>
      <c r="F805">
        <v>19</v>
      </c>
      <c r="G805" s="3">
        <v>4386.3999999999996</v>
      </c>
      <c r="H805" s="4">
        <v>83341.600000000006</v>
      </c>
      <c r="I805" s="18">
        <f>WEEKDAY(Table1[[#This Row],[Date]],3)</f>
        <v>2</v>
      </c>
    </row>
    <row r="806" spans="1:9" x14ac:dyDescent="0.3">
      <c r="A806" s="1">
        <v>45535</v>
      </c>
      <c r="B806" t="s">
        <v>20</v>
      </c>
      <c r="C806" t="s">
        <v>24</v>
      </c>
      <c r="D806" t="s">
        <v>21</v>
      </c>
      <c r="E806" t="s">
        <v>19</v>
      </c>
      <c r="F806">
        <v>16</v>
      </c>
      <c r="G806" s="3">
        <v>5175.0600000000004</v>
      </c>
      <c r="H806" s="4">
        <v>82800.960000000006</v>
      </c>
      <c r="I806" s="18">
        <f>WEEKDAY(Table1[[#This Row],[Date]],3)</f>
        <v>5</v>
      </c>
    </row>
    <row r="807" spans="1:9" x14ac:dyDescent="0.3">
      <c r="A807" s="1">
        <v>45542</v>
      </c>
      <c r="B807" t="s">
        <v>8</v>
      </c>
      <c r="C807" t="s">
        <v>9</v>
      </c>
      <c r="D807" t="s">
        <v>18</v>
      </c>
      <c r="E807" t="s">
        <v>22</v>
      </c>
      <c r="F807">
        <v>16</v>
      </c>
      <c r="G807" s="3">
        <v>1262.3699999999999</v>
      </c>
      <c r="H807" s="4">
        <v>20197.919999999998</v>
      </c>
      <c r="I807" s="18">
        <f>WEEKDAY(Table1[[#This Row],[Date]],3)</f>
        <v>5</v>
      </c>
    </row>
    <row r="808" spans="1:9" x14ac:dyDescent="0.3">
      <c r="A808" s="1">
        <v>45423</v>
      </c>
      <c r="B808" t="s">
        <v>29</v>
      </c>
      <c r="C808" t="s">
        <v>13</v>
      </c>
      <c r="D808" t="s">
        <v>15</v>
      </c>
      <c r="E808" t="s">
        <v>19</v>
      </c>
      <c r="F808">
        <v>12</v>
      </c>
      <c r="G808" s="3">
        <v>4190.17</v>
      </c>
      <c r="H808" s="4">
        <v>50282.04</v>
      </c>
      <c r="I808" s="18">
        <f>WEEKDAY(Table1[[#This Row],[Date]],3)</f>
        <v>5</v>
      </c>
    </row>
    <row r="809" spans="1:9" x14ac:dyDescent="0.3">
      <c r="A809" s="1">
        <v>45309</v>
      </c>
      <c r="B809" t="s">
        <v>12</v>
      </c>
      <c r="C809" t="s">
        <v>9</v>
      </c>
      <c r="D809" t="s">
        <v>10</v>
      </c>
      <c r="E809" t="s">
        <v>16</v>
      </c>
      <c r="F809">
        <v>1</v>
      </c>
      <c r="G809" s="3">
        <v>804.47</v>
      </c>
      <c r="H809" s="4">
        <v>804.47</v>
      </c>
      <c r="I809" s="18">
        <f>WEEKDAY(Table1[[#This Row],[Date]],3)</f>
        <v>3</v>
      </c>
    </row>
    <row r="810" spans="1:9" x14ac:dyDescent="0.3">
      <c r="A810" s="1">
        <v>45637</v>
      </c>
      <c r="B810" t="s">
        <v>23</v>
      </c>
      <c r="C810" t="s">
        <v>24</v>
      </c>
      <c r="D810" t="s">
        <v>18</v>
      </c>
      <c r="E810" t="s">
        <v>19</v>
      </c>
      <c r="F810">
        <v>8</v>
      </c>
      <c r="G810" s="3">
        <v>1771.52</v>
      </c>
      <c r="H810" s="4">
        <v>14172.16</v>
      </c>
      <c r="I810" s="18">
        <f>WEEKDAY(Table1[[#This Row],[Date]],3)</f>
        <v>2</v>
      </c>
    </row>
    <row r="811" spans="1:9" x14ac:dyDescent="0.3">
      <c r="A811" s="1">
        <v>45310</v>
      </c>
      <c r="B811" t="s">
        <v>28</v>
      </c>
      <c r="C811" t="s">
        <v>24</v>
      </c>
      <c r="D811" t="s">
        <v>10</v>
      </c>
      <c r="E811" t="s">
        <v>16</v>
      </c>
      <c r="F811">
        <v>10</v>
      </c>
      <c r="G811" s="3">
        <v>988.77</v>
      </c>
      <c r="H811" s="4">
        <v>9887.7000000000007</v>
      </c>
      <c r="I811" s="18">
        <f>WEEKDAY(Table1[[#This Row],[Date]],3)</f>
        <v>4</v>
      </c>
    </row>
    <row r="812" spans="1:9" x14ac:dyDescent="0.3">
      <c r="A812" s="1">
        <v>45520</v>
      </c>
      <c r="B812" t="s">
        <v>29</v>
      </c>
      <c r="C812" t="s">
        <v>24</v>
      </c>
      <c r="D812" t="s">
        <v>10</v>
      </c>
      <c r="E812" t="s">
        <v>26</v>
      </c>
      <c r="F812">
        <v>12</v>
      </c>
      <c r="G812" s="3">
        <v>4160.21</v>
      </c>
      <c r="H812" s="4">
        <v>49922.52</v>
      </c>
      <c r="I812" s="18">
        <f>WEEKDAY(Table1[[#This Row],[Date]],3)</f>
        <v>4</v>
      </c>
    </row>
    <row r="813" spans="1:9" x14ac:dyDescent="0.3">
      <c r="A813" s="1">
        <v>45452</v>
      </c>
      <c r="B813" t="s">
        <v>28</v>
      </c>
      <c r="C813" t="s">
        <v>13</v>
      </c>
      <c r="D813" t="s">
        <v>15</v>
      </c>
      <c r="E813" t="s">
        <v>19</v>
      </c>
      <c r="F813">
        <v>7</v>
      </c>
      <c r="G813" s="3">
        <v>928.57</v>
      </c>
      <c r="H813" s="4">
        <v>6499.99</v>
      </c>
      <c r="I813" s="18">
        <f>WEEKDAY(Table1[[#This Row],[Date]],3)</f>
        <v>6</v>
      </c>
    </row>
    <row r="814" spans="1:9" x14ac:dyDescent="0.3">
      <c r="A814" s="1">
        <v>45565</v>
      </c>
      <c r="B814" t="s">
        <v>27</v>
      </c>
      <c r="C814" t="s">
        <v>13</v>
      </c>
      <c r="D814" t="s">
        <v>10</v>
      </c>
      <c r="E814" t="s">
        <v>22</v>
      </c>
      <c r="F814">
        <v>12</v>
      </c>
      <c r="G814" s="3">
        <v>921.02</v>
      </c>
      <c r="H814" s="4">
        <v>11052.24</v>
      </c>
      <c r="I814" s="18">
        <f>WEEKDAY(Table1[[#This Row],[Date]],3)</f>
        <v>0</v>
      </c>
    </row>
    <row r="815" spans="1:9" x14ac:dyDescent="0.3">
      <c r="A815" s="1">
        <v>45477</v>
      </c>
      <c r="B815" t="s">
        <v>25</v>
      </c>
      <c r="C815" t="s">
        <v>13</v>
      </c>
      <c r="D815" t="s">
        <v>10</v>
      </c>
      <c r="E815" t="s">
        <v>22</v>
      </c>
      <c r="F815">
        <v>11</v>
      </c>
      <c r="G815" s="3">
        <v>17937.07</v>
      </c>
      <c r="H815" s="4">
        <v>197307.77</v>
      </c>
      <c r="I815" s="18">
        <f>WEEKDAY(Table1[[#This Row],[Date]],3)</f>
        <v>3</v>
      </c>
    </row>
    <row r="816" spans="1:9" x14ac:dyDescent="0.3">
      <c r="A816" s="1">
        <v>45501</v>
      </c>
      <c r="B816" t="s">
        <v>8</v>
      </c>
      <c r="C816" t="s">
        <v>9</v>
      </c>
      <c r="D816" t="s">
        <v>15</v>
      </c>
      <c r="E816" t="s">
        <v>16</v>
      </c>
      <c r="F816">
        <v>2</v>
      </c>
      <c r="G816" s="3">
        <v>1434.67</v>
      </c>
      <c r="H816" s="4">
        <v>2869.34</v>
      </c>
      <c r="I816" s="18">
        <f>WEEKDAY(Table1[[#This Row],[Date]],3)</f>
        <v>6</v>
      </c>
    </row>
    <row r="817" spans="1:9" x14ac:dyDescent="0.3">
      <c r="A817" s="1">
        <v>45425</v>
      </c>
      <c r="B817" t="s">
        <v>12</v>
      </c>
      <c r="C817" t="s">
        <v>9</v>
      </c>
      <c r="D817" t="s">
        <v>10</v>
      </c>
      <c r="E817" t="s">
        <v>26</v>
      </c>
      <c r="F817">
        <v>16</v>
      </c>
      <c r="G817" s="3">
        <v>1097.8</v>
      </c>
      <c r="H817" s="4">
        <v>17564.8</v>
      </c>
      <c r="I817" s="18">
        <f>WEEKDAY(Table1[[#This Row],[Date]],3)</f>
        <v>0</v>
      </c>
    </row>
    <row r="818" spans="1:9" x14ac:dyDescent="0.3">
      <c r="A818" s="1">
        <v>45458</v>
      </c>
      <c r="B818" t="s">
        <v>27</v>
      </c>
      <c r="C818" t="s">
        <v>13</v>
      </c>
      <c r="D818" t="s">
        <v>18</v>
      </c>
      <c r="E818" t="s">
        <v>26</v>
      </c>
      <c r="F818">
        <v>13</v>
      </c>
      <c r="G818" s="3">
        <v>953.41</v>
      </c>
      <c r="H818" s="4">
        <v>12394.33</v>
      </c>
      <c r="I818" s="18">
        <f>WEEKDAY(Table1[[#This Row],[Date]],3)</f>
        <v>5</v>
      </c>
    </row>
    <row r="819" spans="1:9" x14ac:dyDescent="0.3">
      <c r="A819" s="1">
        <v>45506</v>
      </c>
      <c r="B819" t="s">
        <v>28</v>
      </c>
      <c r="C819" t="s">
        <v>24</v>
      </c>
      <c r="D819" t="s">
        <v>18</v>
      </c>
      <c r="E819" t="s">
        <v>11</v>
      </c>
      <c r="F819">
        <v>10</v>
      </c>
      <c r="G819" s="3">
        <v>1025.8</v>
      </c>
      <c r="H819" s="4">
        <v>10258</v>
      </c>
      <c r="I819" s="18">
        <f>WEEKDAY(Table1[[#This Row],[Date]],3)</f>
        <v>4</v>
      </c>
    </row>
    <row r="820" spans="1:9" x14ac:dyDescent="0.3">
      <c r="A820" s="1">
        <v>45562</v>
      </c>
      <c r="B820" t="s">
        <v>23</v>
      </c>
      <c r="C820" t="s">
        <v>9</v>
      </c>
      <c r="D820" t="s">
        <v>10</v>
      </c>
      <c r="E820" t="s">
        <v>11</v>
      </c>
      <c r="F820">
        <v>19</v>
      </c>
      <c r="G820" s="3">
        <v>1718.06</v>
      </c>
      <c r="H820" s="4">
        <v>32643.14</v>
      </c>
      <c r="I820" s="18">
        <f>WEEKDAY(Table1[[#This Row],[Date]],3)</f>
        <v>4</v>
      </c>
    </row>
    <row r="821" spans="1:9" x14ac:dyDescent="0.3">
      <c r="A821" s="1">
        <v>45320</v>
      </c>
      <c r="B821" t="s">
        <v>27</v>
      </c>
      <c r="C821" t="s">
        <v>24</v>
      </c>
      <c r="D821" t="s">
        <v>21</v>
      </c>
      <c r="E821" t="s">
        <v>16</v>
      </c>
      <c r="F821">
        <v>19</v>
      </c>
      <c r="G821" s="3">
        <v>984.11</v>
      </c>
      <c r="H821" s="4">
        <v>18698.09</v>
      </c>
      <c r="I821" s="18">
        <f>WEEKDAY(Table1[[#This Row],[Date]],3)</f>
        <v>0</v>
      </c>
    </row>
    <row r="822" spans="1:9" x14ac:dyDescent="0.3">
      <c r="A822" s="1">
        <v>45299</v>
      </c>
      <c r="B822" t="s">
        <v>23</v>
      </c>
      <c r="C822" t="s">
        <v>24</v>
      </c>
      <c r="D822" t="s">
        <v>21</v>
      </c>
      <c r="E822" t="s">
        <v>19</v>
      </c>
      <c r="F822">
        <v>19</v>
      </c>
      <c r="G822" s="3">
        <v>1105.8399999999999</v>
      </c>
      <c r="H822" s="4">
        <v>21010.959999999999</v>
      </c>
      <c r="I822" s="18">
        <f>WEEKDAY(Table1[[#This Row],[Date]],3)</f>
        <v>0</v>
      </c>
    </row>
    <row r="823" spans="1:9" x14ac:dyDescent="0.3">
      <c r="A823" s="1">
        <v>45336</v>
      </c>
      <c r="B823" t="s">
        <v>14</v>
      </c>
      <c r="C823" t="s">
        <v>13</v>
      </c>
      <c r="D823" t="s">
        <v>21</v>
      </c>
      <c r="E823" t="s">
        <v>16</v>
      </c>
      <c r="F823">
        <v>3</v>
      </c>
      <c r="G823" s="3">
        <v>736.09</v>
      </c>
      <c r="H823" s="4">
        <v>2208.27</v>
      </c>
      <c r="I823" s="18">
        <f>WEEKDAY(Table1[[#This Row],[Date]],3)</f>
        <v>2</v>
      </c>
    </row>
    <row r="824" spans="1:9" x14ac:dyDescent="0.3">
      <c r="A824" s="1">
        <v>45607</v>
      </c>
      <c r="B824" t="s">
        <v>28</v>
      </c>
      <c r="C824" t="s">
        <v>9</v>
      </c>
      <c r="D824" t="s">
        <v>10</v>
      </c>
      <c r="E824" t="s">
        <v>22</v>
      </c>
      <c r="F824">
        <v>9</v>
      </c>
      <c r="G824" s="3">
        <v>1241.6600000000001</v>
      </c>
      <c r="H824" s="4">
        <v>11174.94</v>
      </c>
      <c r="I824" s="18">
        <f>WEEKDAY(Table1[[#This Row],[Date]],3)</f>
        <v>0</v>
      </c>
    </row>
    <row r="825" spans="1:9" x14ac:dyDescent="0.3">
      <c r="A825" s="1">
        <v>45404</v>
      </c>
      <c r="B825" t="s">
        <v>28</v>
      </c>
      <c r="C825" t="s">
        <v>9</v>
      </c>
      <c r="D825" t="s">
        <v>15</v>
      </c>
      <c r="E825" t="s">
        <v>11</v>
      </c>
      <c r="F825">
        <v>16</v>
      </c>
      <c r="G825" s="3">
        <v>1205.3</v>
      </c>
      <c r="H825" s="4">
        <v>19284.8</v>
      </c>
      <c r="I825" s="18">
        <f>WEEKDAY(Table1[[#This Row],[Date]],3)</f>
        <v>0</v>
      </c>
    </row>
    <row r="826" spans="1:9" x14ac:dyDescent="0.3">
      <c r="A826" s="1">
        <v>45597</v>
      </c>
      <c r="B826" t="s">
        <v>20</v>
      </c>
      <c r="C826" t="s">
        <v>9</v>
      </c>
      <c r="D826" t="s">
        <v>21</v>
      </c>
      <c r="E826" t="s">
        <v>22</v>
      </c>
      <c r="F826">
        <v>14</v>
      </c>
      <c r="G826" s="3">
        <v>5055.6899999999996</v>
      </c>
      <c r="H826" s="4">
        <v>70779.66</v>
      </c>
      <c r="I826" s="18">
        <f>WEEKDAY(Table1[[#This Row],[Date]],3)</f>
        <v>4</v>
      </c>
    </row>
    <row r="827" spans="1:9" x14ac:dyDescent="0.3">
      <c r="A827" s="1">
        <v>45570</v>
      </c>
      <c r="B827" t="s">
        <v>29</v>
      </c>
      <c r="C827" t="s">
        <v>13</v>
      </c>
      <c r="D827" t="s">
        <v>18</v>
      </c>
      <c r="E827" t="s">
        <v>11</v>
      </c>
      <c r="F827">
        <v>18</v>
      </c>
      <c r="G827" s="3">
        <v>4398.91</v>
      </c>
      <c r="H827" s="4">
        <v>79180.38</v>
      </c>
      <c r="I827" s="18">
        <f>WEEKDAY(Table1[[#This Row],[Date]],3)</f>
        <v>5</v>
      </c>
    </row>
    <row r="828" spans="1:9" x14ac:dyDescent="0.3">
      <c r="A828" s="1">
        <v>45334</v>
      </c>
      <c r="B828" t="s">
        <v>17</v>
      </c>
      <c r="C828" t="s">
        <v>13</v>
      </c>
      <c r="D828" t="s">
        <v>21</v>
      </c>
      <c r="E828" t="s">
        <v>26</v>
      </c>
      <c r="F828">
        <v>19</v>
      </c>
      <c r="G828" s="3">
        <v>2246.7199999999998</v>
      </c>
      <c r="H828" s="4">
        <v>42687.68</v>
      </c>
      <c r="I828" s="18">
        <f>WEEKDAY(Table1[[#This Row],[Date]],3)</f>
        <v>0</v>
      </c>
    </row>
    <row r="829" spans="1:9" x14ac:dyDescent="0.3">
      <c r="A829" s="1">
        <v>45451</v>
      </c>
      <c r="B829" t="s">
        <v>20</v>
      </c>
      <c r="C829" t="s">
        <v>9</v>
      </c>
      <c r="D829" t="s">
        <v>21</v>
      </c>
      <c r="E829" t="s">
        <v>26</v>
      </c>
      <c r="F829">
        <v>2</v>
      </c>
      <c r="G829" s="3">
        <v>3624.28</v>
      </c>
      <c r="H829" s="4">
        <v>7248.56</v>
      </c>
      <c r="I829" s="18">
        <f>WEEKDAY(Table1[[#This Row],[Date]],3)</f>
        <v>5</v>
      </c>
    </row>
    <row r="830" spans="1:9" x14ac:dyDescent="0.3">
      <c r="A830" s="1">
        <v>45297</v>
      </c>
      <c r="B830" t="s">
        <v>14</v>
      </c>
      <c r="C830" t="s">
        <v>13</v>
      </c>
      <c r="D830" t="s">
        <v>15</v>
      </c>
      <c r="E830" t="s">
        <v>16</v>
      </c>
      <c r="F830">
        <v>13</v>
      </c>
      <c r="G830" s="3">
        <v>481.02</v>
      </c>
      <c r="H830" s="4">
        <v>6253.26</v>
      </c>
      <c r="I830" s="18">
        <f>WEEKDAY(Table1[[#This Row],[Date]],3)</f>
        <v>5</v>
      </c>
    </row>
    <row r="831" spans="1:9" x14ac:dyDescent="0.3">
      <c r="A831" s="1">
        <v>45439</v>
      </c>
      <c r="B831" t="s">
        <v>29</v>
      </c>
      <c r="C831" t="s">
        <v>24</v>
      </c>
      <c r="D831" t="s">
        <v>10</v>
      </c>
      <c r="E831" t="s">
        <v>22</v>
      </c>
      <c r="F831">
        <v>2</v>
      </c>
      <c r="G831" s="3">
        <v>3684.16</v>
      </c>
      <c r="H831" s="4">
        <v>7368.32</v>
      </c>
      <c r="I831" s="18">
        <f>WEEKDAY(Table1[[#This Row],[Date]],3)</f>
        <v>0</v>
      </c>
    </row>
    <row r="832" spans="1:9" x14ac:dyDescent="0.3">
      <c r="A832" s="1">
        <v>45592</v>
      </c>
      <c r="B832" t="s">
        <v>17</v>
      </c>
      <c r="C832" t="s">
        <v>13</v>
      </c>
      <c r="D832" t="s">
        <v>10</v>
      </c>
      <c r="E832" t="s">
        <v>19</v>
      </c>
      <c r="F832">
        <v>15</v>
      </c>
      <c r="G832" s="3">
        <v>2405.58</v>
      </c>
      <c r="H832" s="4">
        <v>36083.699999999997</v>
      </c>
      <c r="I832" s="18">
        <f>WEEKDAY(Table1[[#This Row],[Date]],3)</f>
        <v>6</v>
      </c>
    </row>
    <row r="833" spans="1:9" x14ac:dyDescent="0.3">
      <c r="A833" s="1">
        <v>45402</v>
      </c>
      <c r="B833" t="s">
        <v>20</v>
      </c>
      <c r="C833" t="s">
        <v>13</v>
      </c>
      <c r="D833" t="s">
        <v>10</v>
      </c>
      <c r="E833" t="s">
        <v>11</v>
      </c>
      <c r="F833">
        <v>3</v>
      </c>
      <c r="G833" s="3">
        <v>4474.7700000000004</v>
      </c>
      <c r="H833" s="4">
        <v>13424.31</v>
      </c>
      <c r="I833" s="18">
        <f>WEEKDAY(Table1[[#This Row],[Date]],3)</f>
        <v>5</v>
      </c>
    </row>
    <row r="834" spans="1:9" x14ac:dyDescent="0.3">
      <c r="A834" s="1">
        <v>45317</v>
      </c>
      <c r="B834" t="s">
        <v>29</v>
      </c>
      <c r="C834" t="s">
        <v>9</v>
      </c>
      <c r="D834" t="s">
        <v>21</v>
      </c>
      <c r="E834" t="s">
        <v>26</v>
      </c>
      <c r="F834">
        <v>1</v>
      </c>
      <c r="G834" s="3">
        <v>3310.31</v>
      </c>
      <c r="H834" s="4">
        <v>3310.31</v>
      </c>
      <c r="I834" s="18">
        <f>WEEKDAY(Table1[[#This Row],[Date]],3)</f>
        <v>4</v>
      </c>
    </row>
    <row r="835" spans="1:9" x14ac:dyDescent="0.3">
      <c r="A835" s="1">
        <v>45505</v>
      </c>
      <c r="B835" t="s">
        <v>23</v>
      </c>
      <c r="C835" t="s">
        <v>24</v>
      </c>
      <c r="D835" t="s">
        <v>10</v>
      </c>
      <c r="E835" t="s">
        <v>22</v>
      </c>
      <c r="F835">
        <v>12</v>
      </c>
      <c r="G835" s="3">
        <v>1707.78</v>
      </c>
      <c r="H835" s="4">
        <v>20493.36</v>
      </c>
      <c r="I835" s="18">
        <f>WEEKDAY(Table1[[#This Row],[Date]],3)</f>
        <v>3</v>
      </c>
    </row>
    <row r="836" spans="1:9" x14ac:dyDescent="0.3">
      <c r="A836" s="1">
        <v>45639</v>
      </c>
      <c r="B836" t="s">
        <v>25</v>
      </c>
      <c r="C836" t="s">
        <v>13</v>
      </c>
      <c r="D836" t="s">
        <v>21</v>
      </c>
      <c r="E836" t="s">
        <v>11</v>
      </c>
      <c r="F836">
        <v>17</v>
      </c>
      <c r="G836" s="3">
        <v>19114.77</v>
      </c>
      <c r="H836" s="4">
        <v>324951.09000000003</v>
      </c>
      <c r="I836" s="18">
        <f>WEEKDAY(Table1[[#This Row],[Date]],3)</f>
        <v>4</v>
      </c>
    </row>
    <row r="837" spans="1:9" x14ac:dyDescent="0.3">
      <c r="A837" s="1">
        <v>45390</v>
      </c>
      <c r="B837" t="s">
        <v>17</v>
      </c>
      <c r="C837" t="s">
        <v>13</v>
      </c>
      <c r="D837" t="s">
        <v>10</v>
      </c>
      <c r="E837" t="s">
        <v>16</v>
      </c>
      <c r="F837">
        <v>16</v>
      </c>
      <c r="G837" s="3">
        <v>2699.2</v>
      </c>
      <c r="H837" s="4">
        <v>43187.199999999997</v>
      </c>
      <c r="I837" s="18">
        <f>WEEKDAY(Table1[[#This Row],[Date]],3)</f>
        <v>0</v>
      </c>
    </row>
    <row r="838" spans="1:9" x14ac:dyDescent="0.3">
      <c r="A838" s="1">
        <v>45464</v>
      </c>
      <c r="B838" t="s">
        <v>14</v>
      </c>
      <c r="C838" t="s">
        <v>13</v>
      </c>
      <c r="D838" t="s">
        <v>10</v>
      </c>
      <c r="E838" t="s">
        <v>16</v>
      </c>
      <c r="F838">
        <v>8</v>
      </c>
      <c r="G838" s="3">
        <v>465.93</v>
      </c>
      <c r="H838" s="4">
        <v>3727.44</v>
      </c>
      <c r="I838" s="18">
        <f>WEEKDAY(Table1[[#This Row],[Date]],3)</f>
        <v>4</v>
      </c>
    </row>
    <row r="839" spans="1:9" x14ac:dyDescent="0.3">
      <c r="A839" s="1">
        <v>45356</v>
      </c>
      <c r="B839" t="s">
        <v>29</v>
      </c>
      <c r="C839" t="s">
        <v>13</v>
      </c>
      <c r="D839" t="s">
        <v>10</v>
      </c>
      <c r="E839" t="s">
        <v>11</v>
      </c>
      <c r="F839">
        <v>11</v>
      </c>
      <c r="G839" s="3">
        <v>3328.62</v>
      </c>
      <c r="H839" s="4">
        <v>36614.82</v>
      </c>
      <c r="I839" s="18">
        <f>WEEKDAY(Table1[[#This Row],[Date]],3)</f>
        <v>1</v>
      </c>
    </row>
    <row r="840" spans="1:9" x14ac:dyDescent="0.3">
      <c r="A840" s="1">
        <v>45449</v>
      </c>
      <c r="B840" t="s">
        <v>17</v>
      </c>
      <c r="C840" t="s">
        <v>13</v>
      </c>
      <c r="D840" t="s">
        <v>10</v>
      </c>
      <c r="E840" t="s">
        <v>26</v>
      </c>
      <c r="F840">
        <v>7</v>
      </c>
      <c r="G840" s="3">
        <v>2580.21</v>
      </c>
      <c r="H840" s="4">
        <v>18061.47</v>
      </c>
      <c r="I840" s="18">
        <f>WEEKDAY(Table1[[#This Row],[Date]],3)</f>
        <v>3</v>
      </c>
    </row>
    <row r="841" spans="1:9" x14ac:dyDescent="0.3">
      <c r="A841" s="1">
        <v>45592</v>
      </c>
      <c r="B841" t="s">
        <v>17</v>
      </c>
      <c r="C841" t="s">
        <v>13</v>
      </c>
      <c r="D841" t="s">
        <v>10</v>
      </c>
      <c r="E841" t="s">
        <v>11</v>
      </c>
      <c r="F841">
        <v>10</v>
      </c>
      <c r="G841" s="3">
        <v>2459.54</v>
      </c>
      <c r="H841" s="4">
        <v>24595.4</v>
      </c>
      <c r="I841" s="18">
        <f>WEEKDAY(Table1[[#This Row],[Date]],3)</f>
        <v>6</v>
      </c>
    </row>
    <row r="842" spans="1:9" x14ac:dyDescent="0.3">
      <c r="A842" s="1">
        <v>45631</v>
      </c>
      <c r="B842" t="s">
        <v>29</v>
      </c>
      <c r="C842" t="s">
        <v>13</v>
      </c>
      <c r="D842" t="s">
        <v>18</v>
      </c>
      <c r="E842" t="s">
        <v>16</v>
      </c>
      <c r="F842">
        <v>13</v>
      </c>
      <c r="G842" s="3">
        <v>3316.05</v>
      </c>
      <c r="H842" s="4">
        <v>43108.65</v>
      </c>
      <c r="I842" s="18">
        <f>WEEKDAY(Table1[[#This Row],[Date]],3)</f>
        <v>3</v>
      </c>
    </row>
    <row r="843" spans="1:9" x14ac:dyDescent="0.3">
      <c r="A843" s="1">
        <v>45312</v>
      </c>
      <c r="B843" t="s">
        <v>12</v>
      </c>
      <c r="C843" t="s">
        <v>9</v>
      </c>
      <c r="D843" t="s">
        <v>18</v>
      </c>
      <c r="E843" t="s">
        <v>26</v>
      </c>
      <c r="F843">
        <v>5</v>
      </c>
      <c r="G843" s="3">
        <v>1122.46</v>
      </c>
      <c r="H843" s="4">
        <v>5612.3</v>
      </c>
      <c r="I843" s="18">
        <f>WEEKDAY(Table1[[#This Row],[Date]],3)</f>
        <v>6</v>
      </c>
    </row>
    <row r="844" spans="1:9" x14ac:dyDescent="0.3">
      <c r="A844" s="1">
        <v>45383</v>
      </c>
      <c r="B844" t="s">
        <v>25</v>
      </c>
      <c r="C844" t="s">
        <v>9</v>
      </c>
      <c r="D844" t="s">
        <v>15</v>
      </c>
      <c r="E844" t="s">
        <v>26</v>
      </c>
      <c r="F844">
        <v>18</v>
      </c>
      <c r="G844" s="3">
        <v>14239.63</v>
      </c>
      <c r="H844" s="4">
        <v>256313.34</v>
      </c>
      <c r="I844" s="18">
        <f>WEEKDAY(Table1[[#This Row],[Date]],3)</f>
        <v>0</v>
      </c>
    </row>
    <row r="845" spans="1:9" x14ac:dyDescent="0.3">
      <c r="A845" s="1">
        <v>45622</v>
      </c>
      <c r="B845" t="s">
        <v>20</v>
      </c>
      <c r="C845" t="s">
        <v>9</v>
      </c>
      <c r="D845" t="s">
        <v>15</v>
      </c>
      <c r="E845" t="s">
        <v>16</v>
      </c>
      <c r="F845">
        <v>11</v>
      </c>
      <c r="G845" s="3">
        <v>5254.48</v>
      </c>
      <c r="H845" s="4">
        <v>57799.28</v>
      </c>
      <c r="I845" s="18">
        <f>WEEKDAY(Table1[[#This Row],[Date]],3)</f>
        <v>1</v>
      </c>
    </row>
    <row r="846" spans="1:9" x14ac:dyDescent="0.3">
      <c r="A846" s="1">
        <v>45459</v>
      </c>
      <c r="B846" t="s">
        <v>27</v>
      </c>
      <c r="C846" t="s">
        <v>13</v>
      </c>
      <c r="D846" t="s">
        <v>18</v>
      </c>
      <c r="E846" t="s">
        <v>11</v>
      </c>
      <c r="F846">
        <v>1</v>
      </c>
      <c r="G846" s="3">
        <v>603.88</v>
      </c>
      <c r="H846" s="4">
        <v>603.88</v>
      </c>
      <c r="I846" s="18">
        <f>WEEKDAY(Table1[[#This Row],[Date]],3)</f>
        <v>6</v>
      </c>
    </row>
    <row r="847" spans="1:9" x14ac:dyDescent="0.3">
      <c r="A847" s="1">
        <v>45437</v>
      </c>
      <c r="B847" t="s">
        <v>25</v>
      </c>
      <c r="C847" t="s">
        <v>9</v>
      </c>
      <c r="D847" t="s">
        <v>21</v>
      </c>
      <c r="E847" t="s">
        <v>16</v>
      </c>
      <c r="F847">
        <v>3</v>
      </c>
      <c r="G847" s="3">
        <v>18569.169999999998</v>
      </c>
      <c r="H847" s="4">
        <v>55707.51</v>
      </c>
      <c r="I847" s="18">
        <f>WEEKDAY(Table1[[#This Row],[Date]],3)</f>
        <v>5</v>
      </c>
    </row>
    <row r="848" spans="1:9" x14ac:dyDescent="0.3">
      <c r="A848" s="1">
        <v>45444</v>
      </c>
      <c r="B848" t="s">
        <v>25</v>
      </c>
      <c r="C848" t="s">
        <v>24</v>
      </c>
      <c r="D848" t="s">
        <v>10</v>
      </c>
      <c r="E848" t="s">
        <v>22</v>
      </c>
      <c r="F848">
        <v>16</v>
      </c>
      <c r="G848" s="3">
        <v>15872.51</v>
      </c>
      <c r="H848" s="4">
        <v>253960.16</v>
      </c>
      <c r="I848" s="18">
        <f>WEEKDAY(Table1[[#This Row],[Date]],3)</f>
        <v>5</v>
      </c>
    </row>
    <row r="849" spans="1:9" x14ac:dyDescent="0.3">
      <c r="A849" s="1">
        <v>45502</v>
      </c>
      <c r="B849" t="s">
        <v>20</v>
      </c>
      <c r="C849" t="s">
        <v>24</v>
      </c>
      <c r="D849" t="s">
        <v>10</v>
      </c>
      <c r="E849" t="s">
        <v>26</v>
      </c>
      <c r="F849">
        <v>1</v>
      </c>
      <c r="G849" s="3">
        <v>4482.26</v>
      </c>
      <c r="H849" s="4">
        <v>4482.26</v>
      </c>
      <c r="I849" s="18">
        <f>WEEKDAY(Table1[[#This Row],[Date]],3)</f>
        <v>0</v>
      </c>
    </row>
    <row r="850" spans="1:9" x14ac:dyDescent="0.3">
      <c r="A850" s="1">
        <v>45627</v>
      </c>
      <c r="B850" t="s">
        <v>14</v>
      </c>
      <c r="C850" t="s">
        <v>13</v>
      </c>
      <c r="D850" t="s">
        <v>15</v>
      </c>
      <c r="E850" t="s">
        <v>22</v>
      </c>
      <c r="F850">
        <v>13</v>
      </c>
      <c r="G850" s="3">
        <v>631.67999999999995</v>
      </c>
      <c r="H850" s="4">
        <v>8211.84</v>
      </c>
      <c r="I850" s="18">
        <f>WEEKDAY(Table1[[#This Row],[Date]],3)</f>
        <v>6</v>
      </c>
    </row>
    <row r="851" spans="1:9" x14ac:dyDescent="0.3">
      <c r="A851" s="1">
        <v>45413</v>
      </c>
      <c r="B851" t="s">
        <v>29</v>
      </c>
      <c r="C851" t="s">
        <v>9</v>
      </c>
      <c r="D851" t="s">
        <v>21</v>
      </c>
      <c r="E851" t="s">
        <v>11</v>
      </c>
      <c r="F851">
        <v>7</v>
      </c>
      <c r="G851" s="3">
        <v>3968.45</v>
      </c>
      <c r="H851" s="4">
        <v>27779.15</v>
      </c>
      <c r="I851" s="18">
        <f>WEEKDAY(Table1[[#This Row],[Date]],3)</f>
        <v>2</v>
      </c>
    </row>
    <row r="852" spans="1:9" x14ac:dyDescent="0.3">
      <c r="A852" s="1">
        <v>45301</v>
      </c>
      <c r="B852" t="s">
        <v>20</v>
      </c>
      <c r="C852" t="s">
        <v>24</v>
      </c>
      <c r="D852" t="s">
        <v>21</v>
      </c>
      <c r="E852" t="s">
        <v>19</v>
      </c>
      <c r="F852">
        <v>9</v>
      </c>
      <c r="G852" s="3">
        <v>5314.52</v>
      </c>
      <c r="H852" s="4">
        <v>47830.68</v>
      </c>
      <c r="I852" s="18">
        <f>WEEKDAY(Table1[[#This Row],[Date]],3)</f>
        <v>2</v>
      </c>
    </row>
    <row r="853" spans="1:9" x14ac:dyDescent="0.3">
      <c r="A853" s="1">
        <v>45295</v>
      </c>
      <c r="B853" t="s">
        <v>14</v>
      </c>
      <c r="C853" t="s">
        <v>9</v>
      </c>
      <c r="D853" t="s">
        <v>18</v>
      </c>
      <c r="E853" t="s">
        <v>26</v>
      </c>
      <c r="F853">
        <v>4</v>
      </c>
      <c r="G853" s="3">
        <v>515.76</v>
      </c>
      <c r="H853" s="4">
        <v>2063.04</v>
      </c>
      <c r="I853" s="18">
        <f>WEEKDAY(Table1[[#This Row],[Date]],3)</f>
        <v>3</v>
      </c>
    </row>
    <row r="854" spans="1:9" x14ac:dyDescent="0.3">
      <c r="A854" s="1">
        <v>45434</v>
      </c>
      <c r="B854" t="s">
        <v>27</v>
      </c>
      <c r="C854" t="s">
        <v>9</v>
      </c>
      <c r="D854" t="s">
        <v>21</v>
      </c>
      <c r="E854" t="s">
        <v>16</v>
      </c>
      <c r="F854">
        <v>5</v>
      </c>
      <c r="G854" s="3">
        <v>831</v>
      </c>
      <c r="H854" s="4">
        <v>4155</v>
      </c>
      <c r="I854" s="18">
        <f>WEEKDAY(Table1[[#This Row],[Date]],3)</f>
        <v>2</v>
      </c>
    </row>
    <row r="855" spans="1:9" x14ac:dyDescent="0.3">
      <c r="A855" s="1">
        <v>45437</v>
      </c>
      <c r="B855" t="s">
        <v>17</v>
      </c>
      <c r="C855" t="s">
        <v>9</v>
      </c>
      <c r="D855" t="s">
        <v>18</v>
      </c>
      <c r="E855" t="s">
        <v>19</v>
      </c>
      <c r="F855">
        <v>10</v>
      </c>
      <c r="G855" s="3">
        <v>2853.88</v>
      </c>
      <c r="H855" s="4">
        <v>28538.799999999999</v>
      </c>
      <c r="I855" s="18">
        <f>WEEKDAY(Table1[[#This Row],[Date]],3)</f>
        <v>5</v>
      </c>
    </row>
    <row r="856" spans="1:9" x14ac:dyDescent="0.3">
      <c r="A856" s="1">
        <v>45480</v>
      </c>
      <c r="B856" t="s">
        <v>20</v>
      </c>
      <c r="C856" t="s">
        <v>13</v>
      </c>
      <c r="D856" t="s">
        <v>21</v>
      </c>
      <c r="E856" t="s">
        <v>26</v>
      </c>
      <c r="F856">
        <v>11</v>
      </c>
      <c r="G856" s="3">
        <v>4161.95</v>
      </c>
      <c r="H856" s="4">
        <v>45781.45</v>
      </c>
      <c r="I856" s="18">
        <f>WEEKDAY(Table1[[#This Row],[Date]],3)</f>
        <v>6</v>
      </c>
    </row>
    <row r="857" spans="1:9" x14ac:dyDescent="0.3">
      <c r="A857" s="1">
        <v>45589</v>
      </c>
      <c r="B857" t="s">
        <v>8</v>
      </c>
      <c r="C857" t="s">
        <v>9</v>
      </c>
      <c r="D857" t="s">
        <v>21</v>
      </c>
      <c r="E857" t="s">
        <v>16</v>
      </c>
      <c r="F857">
        <v>10</v>
      </c>
      <c r="G857" s="3">
        <v>1496.44</v>
      </c>
      <c r="H857" s="4">
        <v>14964.4</v>
      </c>
      <c r="I857" s="18">
        <f>WEEKDAY(Table1[[#This Row],[Date]],3)</f>
        <v>3</v>
      </c>
    </row>
    <row r="858" spans="1:9" x14ac:dyDescent="0.3">
      <c r="A858" s="1">
        <v>45364</v>
      </c>
      <c r="B858" t="s">
        <v>8</v>
      </c>
      <c r="C858" t="s">
        <v>13</v>
      </c>
      <c r="D858" t="s">
        <v>15</v>
      </c>
      <c r="E858" t="s">
        <v>19</v>
      </c>
      <c r="F858">
        <v>7</v>
      </c>
      <c r="G858" s="3">
        <v>1543.12</v>
      </c>
      <c r="H858" s="4">
        <v>10801.84</v>
      </c>
      <c r="I858" s="18">
        <f>WEEKDAY(Table1[[#This Row],[Date]],3)</f>
        <v>2</v>
      </c>
    </row>
    <row r="859" spans="1:9" x14ac:dyDescent="0.3">
      <c r="A859" s="1">
        <v>45632</v>
      </c>
      <c r="B859" t="s">
        <v>23</v>
      </c>
      <c r="C859" t="s">
        <v>9</v>
      </c>
      <c r="D859" t="s">
        <v>15</v>
      </c>
      <c r="E859" t="s">
        <v>22</v>
      </c>
      <c r="F859">
        <v>19</v>
      </c>
      <c r="G859" s="3">
        <v>1847.66</v>
      </c>
      <c r="H859" s="4">
        <v>35105.54</v>
      </c>
      <c r="I859" s="18">
        <f>WEEKDAY(Table1[[#This Row],[Date]],3)</f>
        <v>4</v>
      </c>
    </row>
    <row r="860" spans="1:9" x14ac:dyDescent="0.3">
      <c r="A860" s="1">
        <v>45514</v>
      </c>
      <c r="B860" t="s">
        <v>20</v>
      </c>
      <c r="C860" t="s">
        <v>13</v>
      </c>
      <c r="D860" t="s">
        <v>15</v>
      </c>
      <c r="E860" t="s">
        <v>19</v>
      </c>
      <c r="F860">
        <v>12</v>
      </c>
      <c r="G860" s="3">
        <v>3663.4</v>
      </c>
      <c r="H860" s="4">
        <v>43960.800000000003</v>
      </c>
      <c r="I860" s="18">
        <f>WEEKDAY(Table1[[#This Row],[Date]],3)</f>
        <v>5</v>
      </c>
    </row>
    <row r="861" spans="1:9" x14ac:dyDescent="0.3">
      <c r="A861" s="1">
        <v>45421</v>
      </c>
      <c r="B861" t="s">
        <v>20</v>
      </c>
      <c r="C861" t="s">
        <v>9</v>
      </c>
      <c r="D861" t="s">
        <v>15</v>
      </c>
      <c r="E861" t="s">
        <v>19</v>
      </c>
      <c r="F861">
        <v>10</v>
      </c>
      <c r="G861" s="3">
        <v>5678.33</v>
      </c>
      <c r="H861" s="4">
        <v>56783.3</v>
      </c>
      <c r="I861" s="18">
        <f>WEEKDAY(Table1[[#This Row],[Date]],3)</f>
        <v>3</v>
      </c>
    </row>
    <row r="862" spans="1:9" x14ac:dyDescent="0.3">
      <c r="A862" s="1">
        <v>45486</v>
      </c>
      <c r="B862" t="s">
        <v>12</v>
      </c>
      <c r="C862" t="s">
        <v>13</v>
      </c>
      <c r="D862" t="s">
        <v>15</v>
      </c>
      <c r="E862" t="s">
        <v>11</v>
      </c>
      <c r="F862">
        <v>5</v>
      </c>
      <c r="G862" s="3">
        <v>755.4</v>
      </c>
      <c r="H862" s="4">
        <v>3777</v>
      </c>
      <c r="I862" s="18">
        <f>WEEKDAY(Table1[[#This Row],[Date]],3)</f>
        <v>5</v>
      </c>
    </row>
    <row r="863" spans="1:9" x14ac:dyDescent="0.3">
      <c r="A863" s="1">
        <v>45606</v>
      </c>
      <c r="B863" t="s">
        <v>27</v>
      </c>
      <c r="C863" t="s">
        <v>24</v>
      </c>
      <c r="D863" t="s">
        <v>10</v>
      </c>
      <c r="E863" t="s">
        <v>26</v>
      </c>
      <c r="F863">
        <v>4</v>
      </c>
      <c r="G863" s="3">
        <v>941.63</v>
      </c>
      <c r="H863" s="4">
        <v>3766.52</v>
      </c>
      <c r="I863" s="18">
        <f>WEEKDAY(Table1[[#This Row],[Date]],3)</f>
        <v>6</v>
      </c>
    </row>
    <row r="864" spans="1:9" x14ac:dyDescent="0.3">
      <c r="A864" s="1">
        <v>45326</v>
      </c>
      <c r="B864" t="s">
        <v>23</v>
      </c>
      <c r="C864" t="s">
        <v>24</v>
      </c>
      <c r="D864" t="s">
        <v>18</v>
      </c>
      <c r="E864" t="s">
        <v>11</v>
      </c>
      <c r="F864">
        <v>6</v>
      </c>
      <c r="G864" s="3">
        <v>1627.41</v>
      </c>
      <c r="H864" s="4">
        <v>9764.4599999999991</v>
      </c>
      <c r="I864" s="18">
        <f>WEEKDAY(Table1[[#This Row],[Date]],3)</f>
        <v>6</v>
      </c>
    </row>
    <row r="865" spans="1:9" x14ac:dyDescent="0.3">
      <c r="A865" s="1">
        <v>45321</v>
      </c>
      <c r="B865" t="s">
        <v>27</v>
      </c>
      <c r="C865" t="s">
        <v>9</v>
      </c>
      <c r="D865" t="s">
        <v>18</v>
      </c>
      <c r="E865" t="s">
        <v>11</v>
      </c>
      <c r="F865">
        <v>8</v>
      </c>
      <c r="G865" s="3">
        <v>599.54999999999995</v>
      </c>
      <c r="H865" s="4">
        <v>4796.3999999999996</v>
      </c>
      <c r="I865" s="18">
        <f>WEEKDAY(Table1[[#This Row],[Date]],3)</f>
        <v>1</v>
      </c>
    </row>
    <row r="866" spans="1:9" x14ac:dyDescent="0.3">
      <c r="A866" s="1">
        <v>45371</v>
      </c>
      <c r="B866" t="s">
        <v>8</v>
      </c>
      <c r="C866" t="s">
        <v>13</v>
      </c>
      <c r="D866" t="s">
        <v>15</v>
      </c>
      <c r="E866" t="s">
        <v>26</v>
      </c>
      <c r="F866">
        <v>13</v>
      </c>
      <c r="G866" s="3">
        <v>1458.26</v>
      </c>
      <c r="H866" s="4">
        <v>18957.38</v>
      </c>
      <c r="I866" s="18">
        <f>WEEKDAY(Table1[[#This Row],[Date]],3)</f>
        <v>2</v>
      </c>
    </row>
    <row r="867" spans="1:9" x14ac:dyDescent="0.3">
      <c r="A867" s="1">
        <v>45446</v>
      </c>
      <c r="B867" t="s">
        <v>12</v>
      </c>
      <c r="C867" t="s">
        <v>24</v>
      </c>
      <c r="D867" t="s">
        <v>21</v>
      </c>
      <c r="E867" t="s">
        <v>26</v>
      </c>
      <c r="F867">
        <v>6</v>
      </c>
      <c r="G867" s="3">
        <v>1002.77</v>
      </c>
      <c r="H867" s="4">
        <v>6016.62</v>
      </c>
      <c r="I867" s="18">
        <f>WEEKDAY(Table1[[#This Row],[Date]],3)</f>
        <v>0</v>
      </c>
    </row>
    <row r="868" spans="1:9" x14ac:dyDescent="0.3">
      <c r="A868" s="1">
        <v>45506</v>
      </c>
      <c r="B868" t="s">
        <v>29</v>
      </c>
      <c r="C868" t="s">
        <v>9</v>
      </c>
      <c r="D868" t="s">
        <v>15</v>
      </c>
      <c r="E868" t="s">
        <v>26</v>
      </c>
      <c r="F868">
        <v>17</v>
      </c>
      <c r="G868" s="3">
        <v>3855.65</v>
      </c>
      <c r="H868" s="4">
        <v>65546.05</v>
      </c>
      <c r="I868" s="18">
        <f>WEEKDAY(Table1[[#This Row],[Date]],3)</f>
        <v>4</v>
      </c>
    </row>
    <row r="869" spans="1:9" x14ac:dyDescent="0.3">
      <c r="A869" s="1">
        <v>45622</v>
      </c>
      <c r="B869" t="s">
        <v>12</v>
      </c>
      <c r="C869" t="s">
        <v>13</v>
      </c>
      <c r="D869" t="s">
        <v>10</v>
      </c>
      <c r="E869" t="s">
        <v>22</v>
      </c>
      <c r="F869">
        <v>3</v>
      </c>
      <c r="G869" s="3">
        <v>725.65</v>
      </c>
      <c r="H869" s="4">
        <v>2176.9499999999998</v>
      </c>
      <c r="I869" s="18">
        <f>WEEKDAY(Table1[[#This Row],[Date]],3)</f>
        <v>1</v>
      </c>
    </row>
    <row r="870" spans="1:9" x14ac:dyDescent="0.3">
      <c r="A870" s="1">
        <v>45480</v>
      </c>
      <c r="B870" t="s">
        <v>27</v>
      </c>
      <c r="C870" t="s">
        <v>24</v>
      </c>
      <c r="D870" t="s">
        <v>21</v>
      </c>
      <c r="E870" t="s">
        <v>16</v>
      </c>
      <c r="F870">
        <v>7</v>
      </c>
      <c r="G870" s="3">
        <v>920.88</v>
      </c>
      <c r="H870" s="4">
        <v>6446.16</v>
      </c>
      <c r="I870" s="18">
        <f>WEEKDAY(Table1[[#This Row],[Date]],3)</f>
        <v>6</v>
      </c>
    </row>
    <row r="871" spans="1:9" x14ac:dyDescent="0.3">
      <c r="A871" s="1">
        <v>45619</v>
      </c>
      <c r="B871" t="s">
        <v>27</v>
      </c>
      <c r="C871" t="s">
        <v>24</v>
      </c>
      <c r="D871" t="s">
        <v>10</v>
      </c>
      <c r="E871" t="s">
        <v>26</v>
      </c>
      <c r="F871">
        <v>13</v>
      </c>
      <c r="G871" s="3">
        <v>898.42</v>
      </c>
      <c r="H871" s="4">
        <v>11679.46</v>
      </c>
      <c r="I871" s="18">
        <f>WEEKDAY(Table1[[#This Row],[Date]],3)</f>
        <v>5</v>
      </c>
    </row>
    <row r="872" spans="1:9" x14ac:dyDescent="0.3">
      <c r="A872" s="1">
        <v>45482</v>
      </c>
      <c r="B872" t="s">
        <v>14</v>
      </c>
      <c r="C872" t="s">
        <v>24</v>
      </c>
      <c r="D872" t="s">
        <v>21</v>
      </c>
      <c r="E872" t="s">
        <v>11</v>
      </c>
      <c r="F872">
        <v>3</v>
      </c>
      <c r="G872" s="3">
        <v>480.79</v>
      </c>
      <c r="H872" s="4">
        <v>1442.37</v>
      </c>
      <c r="I872" s="18">
        <f>WEEKDAY(Table1[[#This Row],[Date]],3)</f>
        <v>1</v>
      </c>
    </row>
    <row r="873" spans="1:9" x14ac:dyDescent="0.3">
      <c r="A873" s="1">
        <v>45395</v>
      </c>
      <c r="B873" t="s">
        <v>23</v>
      </c>
      <c r="C873" t="s">
        <v>13</v>
      </c>
      <c r="D873" t="s">
        <v>18</v>
      </c>
      <c r="E873" t="s">
        <v>11</v>
      </c>
      <c r="F873">
        <v>16</v>
      </c>
      <c r="G873" s="3">
        <v>1814.19</v>
      </c>
      <c r="H873" s="4">
        <v>29027.040000000001</v>
      </c>
      <c r="I873" s="18">
        <f>WEEKDAY(Table1[[#This Row],[Date]],3)</f>
        <v>5</v>
      </c>
    </row>
    <row r="874" spans="1:9" x14ac:dyDescent="0.3">
      <c r="A874" s="1">
        <v>45463</v>
      </c>
      <c r="B874" t="s">
        <v>23</v>
      </c>
      <c r="C874" t="s">
        <v>9</v>
      </c>
      <c r="D874" t="s">
        <v>10</v>
      </c>
      <c r="E874" t="s">
        <v>11</v>
      </c>
      <c r="F874">
        <v>10</v>
      </c>
      <c r="G874" s="3">
        <v>1544.02</v>
      </c>
      <c r="H874" s="4">
        <v>15440.2</v>
      </c>
      <c r="I874" s="18">
        <f>WEEKDAY(Table1[[#This Row],[Date]],3)</f>
        <v>3</v>
      </c>
    </row>
    <row r="875" spans="1:9" x14ac:dyDescent="0.3">
      <c r="A875" s="1">
        <v>45469</v>
      </c>
      <c r="B875" t="s">
        <v>8</v>
      </c>
      <c r="C875" t="s">
        <v>9</v>
      </c>
      <c r="D875" t="s">
        <v>18</v>
      </c>
      <c r="E875" t="s">
        <v>11</v>
      </c>
      <c r="F875">
        <v>17</v>
      </c>
      <c r="G875" s="3">
        <v>1171.8499999999999</v>
      </c>
      <c r="H875" s="4">
        <v>19921.45</v>
      </c>
      <c r="I875" s="18">
        <f>WEEKDAY(Table1[[#This Row],[Date]],3)</f>
        <v>2</v>
      </c>
    </row>
    <row r="876" spans="1:9" x14ac:dyDescent="0.3">
      <c r="A876" s="1">
        <v>45339</v>
      </c>
      <c r="B876" t="s">
        <v>27</v>
      </c>
      <c r="C876" t="s">
        <v>13</v>
      </c>
      <c r="D876" t="s">
        <v>15</v>
      </c>
      <c r="E876" t="s">
        <v>11</v>
      </c>
      <c r="F876">
        <v>14</v>
      </c>
      <c r="G876" s="3">
        <v>882.09</v>
      </c>
      <c r="H876" s="4">
        <v>12349.26</v>
      </c>
      <c r="I876" s="18">
        <f>WEEKDAY(Table1[[#This Row],[Date]],3)</f>
        <v>5</v>
      </c>
    </row>
    <row r="877" spans="1:9" x14ac:dyDescent="0.3">
      <c r="A877" s="1">
        <v>45544</v>
      </c>
      <c r="B877" t="s">
        <v>25</v>
      </c>
      <c r="C877" t="s">
        <v>13</v>
      </c>
      <c r="D877" t="s">
        <v>15</v>
      </c>
      <c r="E877" t="s">
        <v>22</v>
      </c>
      <c r="F877">
        <v>14</v>
      </c>
      <c r="G877" s="3">
        <v>13434.97</v>
      </c>
      <c r="H877" s="4">
        <v>188089.58</v>
      </c>
      <c r="I877" s="18">
        <f>WEEKDAY(Table1[[#This Row],[Date]],3)</f>
        <v>0</v>
      </c>
    </row>
    <row r="878" spans="1:9" x14ac:dyDescent="0.3">
      <c r="A878" s="1">
        <v>45370</v>
      </c>
      <c r="B878" t="s">
        <v>29</v>
      </c>
      <c r="C878" t="s">
        <v>13</v>
      </c>
      <c r="D878" t="s">
        <v>10</v>
      </c>
      <c r="E878" t="s">
        <v>22</v>
      </c>
      <c r="F878">
        <v>4</v>
      </c>
      <c r="G878" s="3">
        <v>2939.45</v>
      </c>
      <c r="H878" s="4">
        <v>11757.8</v>
      </c>
      <c r="I878" s="18">
        <f>WEEKDAY(Table1[[#This Row],[Date]],3)</f>
        <v>1</v>
      </c>
    </row>
    <row r="879" spans="1:9" x14ac:dyDescent="0.3">
      <c r="A879" s="1">
        <v>45370</v>
      </c>
      <c r="B879" t="s">
        <v>27</v>
      </c>
      <c r="C879" t="s">
        <v>24</v>
      </c>
      <c r="D879" t="s">
        <v>10</v>
      </c>
      <c r="E879" t="s">
        <v>16</v>
      </c>
      <c r="F879">
        <v>9</v>
      </c>
      <c r="G879" s="3">
        <v>623.5</v>
      </c>
      <c r="H879" s="4">
        <v>5611.5</v>
      </c>
      <c r="I879" s="18">
        <f>WEEKDAY(Table1[[#This Row],[Date]],3)</f>
        <v>1</v>
      </c>
    </row>
    <row r="880" spans="1:9" x14ac:dyDescent="0.3">
      <c r="A880" s="1">
        <v>45643</v>
      </c>
      <c r="B880" t="s">
        <v>8</v>
      </c>
      <c r="C880" t="s">
        <v>9</v>
      </c>
      <c r="D880" t="s">
        <v>18</v>
      </c>
      <c r="E880" t="s">
        <v>26</v>
      </c>
      <c r="F880">
        <v>2</v>
      </c>
      <c r="G880" s="3">
        <v>1105.78</v>
      </c>
      <c r="H880" s="4">
        <v>2211.56</v>
      </c>
      <c r="I880" s="18">
        <f>WEEKDAY(Table1[[#This Row],[Date]],3)</f>
        <v>1</v>
      </c>
    </row>
    <row r="881" spans="1:9" x14ac:dyDescent="0.3">
      <c r="A881" s="1">
        <v>45527</v>
      </c>
      <c r="B881" t="s">
        <v>20</v>
      </c>
      <c r="C881" t="s">
        <v>9</v>
      </c>
      <c r="D881" t="s">
        <v>15</v>
      </c>
      <c r="E881" t="s">
        <v>22</v>
      </c>
      <c r="F881">
        <v>7</v>
      </c>
      <c r="G881" s="3">
        <v>6139.74</v>
      </c>
      <c r="H881" s="4">
        <v>42978.18</v>
      </c>
      <c r="I881" s="18">
        <f>WEEKDAY(Table1[[#This Row],[Date]],3)</f>
        <v>4</v>
      </c>
    </row>
    <row r="882" spans="1:9" x14ac:dyDescent="0.3">
      <c r="A882" s="1">
        <v>45483</v>
      </c>
      <c r="B882" t="s">
        <v>20</v>
      </c>
      <c r="C882" t="s">
        <v>24</v>
      </c>
      <c r="D882" t="s">
        <v>15</v>
      </c>
      <c r="E882" t="s">
        <v>11</v>
      </c>
      <c r="F882">
        <v>2</v>
      </c>
      <c r="G882" s="3">
        <v>3720.09</v>
      </c>
      <c r="H882" s="4">
        <v>7440.18</v>
      </c>
      <c r="I882" s="18">
        <f>WEEKDAY(Table1[[#This Row],[Date]],3)</f>
        <v>2</v>
      </c>
    </row>
    <row r="883" spans="1:9" x14ac:dyDescent="0.3">
      <c r="A883" s="1">
        <v>45380</v>
      </c>
      <c r="B883" t="s">
        <v>14</v>
      </c>
      <c r="C883" t="s">
        <v>24</v>
      </c>
      <c r="D883" t="s">
        <v>18</v>
      </c>
      <c r="E883" t="s">
        <v>19</v>
      </c>
      <c r="F883">
        <v>3</v>
      </c>
      <c r="G883" s="3">
        <v>742.22</v>
      </c>
      <c r="H883" s="4">
        <v>2226.66</v>
      </c>
      <c r="I883" s="18">
        <f>WEEKDAY(Table1[[#This Row],[Date]],3)</f>
        <v>4</v>
      </c>
    </row>
    <row r="884" spans="1:9" x14ac:dyDescent="0.3">
      <c r="A884" s="1">
        <v>45597</v>
      </c>
      <c r="B884" t="s">
        <v>12</v>
      </c>
      <c r="C884" t="s">
        <v>9</v>
      </c>
      <c r="D884" t="s">
        <v>10</v>
      </c>
      <c r="E884" t="s">
        <v>26</v>
      </c>
      <c r="F884">
        <v>16</v>
      </c>
      <c r="G884" s="3">
        <v>768.59</v>
      </c>
      <c r="H884" s="4">
        <v>12297.44</v>
      </c>
      <c r="I884" s="18">
        <f>WEEKDAY(Table1[[#This Row],[Date]],3)</f>
        <v>4</v>
      </c>
    </row>
    <row r="885" spans="1:9" x14ac:dyDescent="0.3">
      <c r="A885" s="1">
        <v>45421</v>
      </c>
      <c r="B885" t="s">
        <v>8</v>
      </c>
      <c r="C885" t="s">
        <v>9</v>
      </c>
      <c r="D885" t="s">
        <v>10</v>
      </c>
      <c r="E885" t="s">
        <v>22</v>
      </c>
      <c r="F885">
        <v>6</v>
      </c>
      <c r="G885" s="3">
        <v>1064.33</v>
      </c>
      <c r="H885" s="4">
        <v>6385.98</v>
      </c>
      <c r="I885" s="18">
        <f>WEEKDAY(Table1[[#This Row],[Date]],3)</f>
        <v>3</v>
      </c>
    </row>
    <row r="886" spans="1:9" x14ac:dyDescent="0.3">
      <c r="A886" s="1">
        <v>45616</v>
      </c>
      <c r="B886" t="s">
        <v>28</v>
      </c>
      <c r="C886" t="s">
        <v>13</v>
      </c>
      <c r="D886" t="s">
        <v>18</v>
      </c>
      <c r="E886" t="s">
        <v>16</v>
      </c>
      <c r="F886">
        <v>8</v>
      </c>
      <c r="G886" s="3">
        <v>987.22</v>
      </c>
      <c r="H886" s="4">
        <v>7897.76</v>
      </c>
      <c r="I886" s="18">
        <f>WEEKDAY(Table1[[#This Row],[Date]],3)</f>
        <v>2</v>
      </c>
    </row>
    <row r="887" spans="1:9" x14ac:dyDescent="0.3">
      <c r="A887" s="1">
        <v>45476</v>
      </c>
      <c r="B887" t="s">
        <v>17</v>
      </c>
      <c r="C887" t="s">
        <v>9</v>
      </c>
      <c r="D887" t="s">
        <v>10</v>
      </c>
      <c r="E887" t="s">
        <v>19</v>
      </c>
      <c r="F887">
        <v>2</v>
      </c>
      <c r="G887" s="3">
        <v>2001.72</v>
      </c>
      <c r="H887" s="4">
        <v>4003.44</v>
      </c>
      <c r="I887" s="18">
        <f>WEEKDAY(Table1[[#This Row],[Date]],3)</f>
        <v>2</v>
      </c>
    </row>
    <row r="888" spans="1:9" x14ac:dyDescent="0.3">
      <c r="A888" s="1">
        <v>45542</v>
      </c>
      <c r="B888" t="s">
        <v>25</v>
      </c>
      <c r="C888" t="s">
        <v>24</v>
      </c>
      <c r="D888" t="s">
        <v>10</v>
      </c>
      <c r="E888" t="s">
        <v>26</v>
      </c>
      <c r="F888">
        <v>1</v>
      </c>
      <c r="G888" s="3">
        <v>16850.060000000001</v>
      </c>
      <c r="H888" s="4">
        <v>16850.060000000001</v>
      </c>
      <c r="I888" s="18">
        <f>WEEKDAY(Table1[[#This Row],[Date]],3)</f>
        <v>5</v>
      </c>
    </row>
    <row r="889" spans="1:9" x14ac:dyDescent="0.3">
      <c r="A889" s="1">
        <v>45423</v>
      </c>
      <c r="B889" t="s">
        <v>8</v>
      </c>
      <c r="C889" t="s">
        <v>9</v>
      </c>
      <c r="D889" t="s">
        <v>15</v>
      </c>
      <c r="E889" t="s">
        <v>11</v>
      </c>
      <c r="F889">
        <v>11</v>
      </c>
      <c r="G889" s="3">
        <v>1375.7</v>
      </c>
      <c r="H889" s="4">
        <v>15132.7</v>
      </c>
      <c r="I889" s="18">
        <f>WEEKDAY(Table1[[#This Row],[Date]],3)</f>
        <v>5</v>
      </c>
    </row>
    <row r="890" spans="1:9" x14ac:dyDescent="0.3">
      <c r="A890" s="1">
        <v>45452</v>
      </c>
      <c r="B890" t="s">
        <v>12</v>
      </c>
      <c r="C890" t="s">
        <v>9</v>
      </c>
      <c r="D890" t="s">
        <v>10</v>
      </c>
      <c r="E890" t="s">
        <v>19</v>
      </c>
      <c r="F890">
        <v>6</v>
      </c>
      <c r="G890" s="3">
        <v>688.34</v>
      </c>
      <c r="H890" s="4">
        <v>4130.04</v>
      </c>
      <c r="I890" s="18">
        <f>WEEKDAY(Table1[[#This Row],[Date]],3)</f>
        <v>6</v>
      </c>
    </row>
    <row r="891" spans="1:9" x14ac:dyDescent="0.3">
      <c r="A891" s="1">
        <v>45581</v>
      </c>
      <c r="B891" t="s">
        <v>23</v>
      </c>
      <c r="C891" t="s">
        <v>24</v>
      </c>
      <c r="D891" t="s">
        <v>15</v>
      </c>
      <c r="E891" t="s">
        <v>26</v>
      </c>
      <c r="F891">
        <v>13</v>
      </c>
      <c r="G891" s="3">
        <v>1123.05</v>
      </c>
      <c r="H891" s="4">
        <v>14599.65</v>
      </c>
      <c r="I891" s="18">
        <f>WEEKDAY(Table1[[#This Row],[Date]],3)</f>
        <v>2</v>
      </c>
    </row>
    <row r="892" spans="1:9" x14ac:dyDescent="0.3">
      <c r="A892" s="1">
        <v>45473</v>
      </c>
      <c r="B892" t="s">
        <v>25</v>
      </c>
      <c r="C892" t="s">
        <v>9</v>
      </c>
      <c r="D892" t="s">
        <v>10</v>
      </c>
      <c r="E892" t="s">
        <v>16</v>
      </c>
      <c r="F892">
        <v>10</v>
      </c>
      <c r="G892" s="3">
        <v>18397.07</v>
      </c>
      <c r="H892" s="4">
        <v>183970.7</v>
      </c>
      <c r="I892" s="18">
        <f>WEEKDAY(Table1[[#This Row],[Date]],3)</f>
        <v>6</v>
      </c>
    </row>
    <row r="893" spans="1:9" x14ac:dyDescent="0.3">
      <c r="A893" s="1">
        <v>45437</v>
      </c>
      <c r="B893" t="s">
        <v>23</v>
      </c>
      <c r="C893" t="s">
        <v>24</v>
      </c>
      <c r="D893" t="s">
        <v>10</v>
      </c>
      <c r="E893" t="s">
        <v>22</v>
      </c>
      <c r="F893">
        <v>2</v>
      </c>
      <c r="G893" s="3">
        <v>1464.66</v>
      </c>
      <c r="H893" s="4">
        <v>2929.32</v>
      </c>
      <c r="I893" s="18">
        <f>WEEKDAY(Table1[[#This Row],[Date]],3)</f>
        <v>5</v>
      </c>
    </row>
    <row r="894" spans="1:9" x14ac:dyDescent="0.3">
      <c r="A894" s="1">
        <v>45614</v>
      </c>
      <c r="B894" t="s">
        <v>23</v>
      </c>
      <c r="C894" t="s">
        <v>24</v>
      </c>
      <c r="D894" t="s">
        <v>15</v>
      </c>
      <c r="E894" t="s">
        <v>22</v>
      </c>
      <c r="F894">
        <v>1</v>
      </c>
      <c r="G894" s="3">
        <v>1847.85</v>
      </c>
      <c r="H894" s="4">
        <v>1847.85</v>
      </c>
      <c r="I894" s="18">
        <f>WEEKDAY(Table1[[#This Row],[Date]],3)</f>
        <v>0</v>
      </c>
    </row>
    <row r="895" spans="1:9" x14ac:dyDescent="0.3">
      <c r="A895" s="1">
        <v>45596</v>
      </c>
      <c r="B895" t="s">
        <v>8</v>
      </c>
      <c r="C895" t="s">
        <v>24</v>
      </c>
      <c r="D895" t="s">
        <v>10</v>
      </c>
      <c r="E895" t="s">
        <v>16</v>
      </c>
      <c r="F895">
        <v>14</v>
      </c>
      <c r="G895" s="3">
        <v>1458.31</v>
      </c>
      <c r="H895" s="4">
        <v>20416.34</v>
      </c>
      <c r="I895" s="18">
        <f>WEEKDAY(Table1[[#This Row],[Date]],3)</f>
        <v>3</v>
      </c>
    </row>
    <row r="896" spans="1:9" x14ac:dyDescent="0.3">
      <c r="A896" s="1">
        <v>45623</v>
      </c>
      <c r="B896" t="s">
        <v>12</v>
      </c>
      <c r="C896" t="s">
        <v>13</v>
      </c>
      <c r="D896" t="s">
        <v>21</v>
      </c>
      <c r="E896" t="s">
        <v>11</v>
      </c>
      <c r="F896">
        <v>6</v>
      </c>
      <c r="G896" s="3">
        <v>812.16</v>
      </c>
      <c r="H896" s="4">
        <v>4872.96</v>
      </c>
      <c r="I896" s="18">
        <f>WEEKDAY(Table1[[#This Row],[Date]],3)</f>
        <v>2</v>
      </c>
    </row>
    <row r="897" spans="1:9" x14ac:dyDescent="0.3">
      <c r="A897" s="1">
        <v>45619</v>
      </c>
      <c r="B897" t="s">
        <v>25</v>
      </c>
      <c r="C897" t="s">
        <v>24</v>
      </c>
      <c r="D897" t="s">
        <v>18</v>
      </c>
      <c r="E897" t="s">
        <v>26</v>
      </c>
      <c r="F897">
        <v>15</v>
      </c>
      <c r="G897" s="3">
        <v>12164.28</v>
      </c>
      <c r="H897" s="4">
        <v>182464.2</v>
      </c>
      <c r="I897" s="18">
        <f>WEEKDAY(Table1[[#This Row],[Date]],3)</f>
        <v>5</v>
      </c>
    </row>
    <row r="898" spans="1:9" x14ac:dyDescent="0.3">
      <c r="A898" s="1">
        <v>45610</v>
      </c>
      <c r="B898" t="s">
        <v>20</v>
      </c>
      <c r="C898" t="s">
        <v>13</v>
      </c>
      <c r="D898" t="s">
        <v>21</v>
      </c>
      <c r="E898" t="s">
        <v>11</v>
      </c>
      <c r="F898">
        <v>11</v>
      </c>
      <c r="G898" s="3">
        <v>6215.9</v>
      </c>
      <c r="H898" s="4">
        <v>68374.899999999994</v>
      </c>
      <c r="I898" s="18">
        <f>WEEKDAY(Table1[[#This Row],[Date]],3)</f>
        <v>3</v>
      </c>
    </row>
    <row r="899" spans="1:9" x14ac:dyDescent="0.3">
      <c r="A899" s="1">
        <v>45333</v>
      </c>
      <c r="B899" t="s">
        <v>17</v>
      </c>
      <c r="C899" t="s">
        <v>9</v>
      </c>
      <c r="D899" t="s">
        <v>10</v>
      </c>
      <c r="E899" t="s">
        <v>22</v>
      </c>
      <c r="F899">
        <v>17</v>
      </c>
      <c r="G899" s="3">
        <v>2221.94</v>
      </c>
      <c r="H899" s="4">
        <v>37772.980000000003</v>
      </c>
      <c r="I899" s="18">
        <f>WEEKDAY(Table1[[#This Row],[Date]],3)</f>
        <v>6</v>
      </c>
    </row>
    <row r="900" spans="1:9" x14ac:dyDescent="0.3">
      <c r="A900" s="1">
        <v>45498</v>
      </c>
      <c r="B900" t="s">
        <v>14</v>
      </c>
      <c r="C900" t="s">
        <v>24</v>
      </c>
      <c r="D900" t="s">
        <v>10</v>
      </c>
      <c r="E900" t="s">
        <v>11</v>
      </c>
      <c r="F900">
        <v>12</v>
      </c>
      <c r="G900" s="3">
        <v>427.47</v>
      </c>
      <c r="H900" s="4">
        <v>5129.6400000000003</v>
      </c>
      <c r="I900" s="18">
        <f>WEEKDAY(Table1[[#This Row],[Date]],3)</f>
        <v>3</v>
      </c>
    </row>
    <row r="901" spans="1:9" x14ac:dyDescent="0.3">
      <c r="A901" s="1">
        <v>45405</v>
      </c>
      <c r="B901" t="s">
        <v>25</v>
      </c>
      <c r="C901" t="s">
        <v>9</v>
      </c>
      <c r="D901" t="s">
        <v>18</v>
      </c>
      <c r="E901" t="s">
        <v>16</v>
      </c>
      <c r="F901">
        <v>1</v>
      </c>
      <c r="G901" s="3">
        <v>19099.03</v>
      </c>
      <c r="H901" s="4">
        <v>19099.03</v>
      </c>
      <c r="I901" s="18">
        <f>WEEKDAY(Table1[[#This Row],[Date]],3)</f>
        <v>1</v>
      </c>
    </row>
    <row r="902" spans="1:9" x14ac:dyDescent="0.3">
      <c r="A902" s="1">
        <v>45510</v>
      </c>
      <c r="B902" t="s">
        <v>28</v>
      </c>
      <c r="C902" t="s">
        <v>9</v>
      </c>
      <c r="D902" t="s">
        <v>21</v>
      </c>
      <c r="E902" t="s">
        <v>19</v>
      </c>
      <c r="F902">
        <v>8</v>
      </c>
      <c r="G902" s="3">
        <v>827.37</v>
      </c>
      <c r="H902" s="4">
        <v>6618.96</v>
      </c>
      <c r="I902" s="18">
        <f>WEEKDAY(Table1[[#This Row],[Date]],3)</f>
        <v>1</v>
      </c>
    </row>
    <row r="903" spans="1:9" x14ac:dyDescent="0.3">
      <c r="A903" s="1">
        <v>45356</v>
      </c>
      <c r="B903" t="s">
        <v>8</v>
      </c>
      <c r="C903" t="s">
        <v>24</v>
      </c>
      <c r="D903" t="s">
        <v>21</v>
      </c>
      <c r="E903" t="s">
        <v>11</v>
      </c>
      <c r="F903">
        <v>17</v>
      </c>
      <c r="G903" s="3">
        <v>1430.13</v>
      </c>
      <c r="H903" s="4">
        <v>24312.21</v>
      </c>
      <c r="I903" s="18">
        <f>WEEKDAY(Table1[[#This Row],[Date]],3)</f>
        <v>1</v>
      </c>
    </row>
    <row r="904" spans="1:9" x14ac:dyDescent="0.3">
      <c r="A904" s="1">
        <v>45314</v>
      </c>
      <c r="B904" t="s">
        <v>23</v>
      </c>
      <c r="C904" t="s">
        <v>9</v>
      </c>
      <c r="D904" t="s">
        <v>10</v>
      </c>
      <c r="E904" t="s">
        <v>19</v>
      </c>
      <c r="F904">
        <v>15</v>
      </c>
      <c r="G904" s="3">
        <v>1840.57</v>
      </c>
      <c r="H904" s="4">
        <v>27608.55</v>
      </c>
      <c r="I904" s="18">
        <f>WEEKDAY(Table1[[#This Row],[Date]],3)</f>
        <v>1</v>
      </c>
    </row>
    <row r="905" spans="1:9" x14ac:dyDescent="0.3">
      <c r="A905" s="1">
        <v>45497</v>
      </c>
      <c r="B905" t="s">
        <v>23</v>
      </c>
      <c r="C905" t="s">
        <v>13</v>
      </c>
      <c r="D905" t="s">
        <v>15</v>
      </c>
      <c r="E905" t="s">
        <v>22</v>
      </c>
      <c r="F905">
        <v>18</v>
      </c>
      <c r="G905" s="3">
        <v>1329.28</v>
      </c>
      <c r="H905" s="4">
        <v>23927.040000000001</v>
      </c>
      <c r="I905" s="18">
        <f>WEEKDAY(Table1[[#This Row],[Date]],3)</f>
        <v>2</v>
      </c>
    </row>
    <row r="906" spans="1:9" x14ac:dyDescent="0.3">
      <c r="A906" s="1">
        <v>45431</v>
      </c>
      <c r="B906" t="s">
        <v>29</v>
      </c>
      <c r="C906" t="s">
        <v>24</v>
      </c>
      <c r="D906" t="s">
        <v>21</v>
      </c>
      <c r="E906" t="s">
        <v>26</v>
      </c>
      <c r="F906">
        <v>1</v>
      </c>
      <c r="G906" s="3">
        <v>2777.12</v>
      </c>
      <c r="H906" s="4">
        <v>2777.12</v>
      </c>
      <c r="I906" s="18">
        <f>WEEKDAY(Table1[[#This Row],[Date]],3)</f>
        <v>6</v>
      </c>
    </row>
    <row r="907" spans="1:9" x14ac:dyDescent="0.3">
      <c r="A907" s="1">
        <v>45349</v>
      </c>
      <c r="B907" t="s">
        <v>29</v>
      </c>
      <c r="C907" t="s">
        <v>13</v>
      </c>
      <c r="D907" t="s">
        <v>15</v>
      </c>
      <c r="E907" t="s">
        <v>16</v>
      </c>
      <c r="F907">
        <v>1</v>
      </c>
      <c r="G907" s="3">
        <v>2533.6</v>
      </c>
      <c r="H907" s="4">
        <v>2533.6</v>
      </c>
      <c r="I907" s="18">
        <f>WEEKDAY(Table1[[#This Row],[Date]],3)</f>
        <v>1</v>
      </c>
    </row>
    <row r="908" spans="1:9" x14ac:dyDescent="0.3">
      <c r="A908" s="1">
        <v>45626</v>
      </c>
      <c r="B908" t="s">
        <v>12</v>
      </c>
      <c r="C908" t="s">
        <v>9</v>
      </c>
      <c r="D908" t="s">
        <v>10</v>
      </c>
      <c r="E908" t="s">
        <v>19</v>
      </c>
      <c r="F908">
        <v>13</v>
      </c>
      <c r="G908" s="3">
        <v>1090.58</v>
      </c>
      <c r="H908" s="4">
        <v>14177.54</v>
      </c>
      <c r="I908" s="18">
        <f>WEEKDAY(Table1[[#This Row],[Date]],3)</f>
        <v>5</v>
      </c>
    </row>
    <row r="909" spans="1:9" x14ac:dyDescent="0.3">
      <c r="A909" s="1">
        <v>45510</v>
      </c>
      <c r="B909" t="s">
        <v>20</v>
      </c>
      <c r="C909" t="s">
        <v>9</v>
      </c>
      <c r="D909" t="s">
        <v>18</v>
      </c>
      <c r="E909" t="s">
        <v>22</v>
      </c>
      <c r="F909">
        <v>1</v>
      </c>
      <c r="G909" s="3">
        <v>5024.43</v>
      </c>
      <c r="H909" s="4">
        <v>5024.43</v>
      </c>
      <c r="I909" s="18">
        <f>WEEKDAY(Table1[[#This Row],[Date]],3)</f>
        <v>1</v>
      </c>
    </row>
    <row r="910" spans="1:9" x14ac:dyDescent="0.3">
      <c r="A910" s="1">
        <v>45585</v>
      </c>
      <c r="B910" t="s">
        <v>23</v>
      </c>
      <c r="C910" t="s">
        <v>24</v>
      </c>
      <c r="D910" t="s">
        <v>18</v>
      </c>
      <c r="E910" t="s">
        <v>22</v>
      </c>
      <c r="F910">
        <v>3</v>
      </c>
      <c r="G910" s="3">
        <v>1614.9</v>
      </c>
      <c r="H910" s="4">
        <v>4844.7</v>
      </c>
      <c r="I910" s="18">
        <f>WEEKDAY(Table1[[#This Row],[Date]],3)</f>
        <v>6</v>
      </c>
    </row>
    <row r="911" spans="1:9" x14ac:dyDescent="0.3">
      <c r="A911" s="1">
        <v>45634</v>
      </c>
      <c r="B911" t="s">
        <v>17</v>
      </c>
      <c r="C911" t="s">
        <v>9</v>
      </c>
      <c r="D911" t="s">
        <v>18</v>
      </c>
      <c r="E911" t="s">
        <v>26</v>
      </c>
      <c r="F911">
        <v>7</v>
      </c>
      <c r="G911" s="3">
        <v>3081.2</v>
      </c>
      <c r="H911" s="4">
        <v>21568.400000000001</v>
      </c>
      <c r="I911" s="18">
        <f>WEEKDAY(Table1[[#This Row],[Date]],3)</f>
        <v>6</v>
      </c>
    </row>
    <row r="912" spans="1:9" x14ac:dyDescent="0.3">
      <c r="A912" s="1">
        <v>45323</v>
      </c>
      <c r="B912" t="s">
        <v>17</v>
      </c>
      <c r="C912" t="s">
        <v>13</v>
      </c>
      <c r="D912" t="s">
        <v>10</v>
      </c>
      <c r="E912" t="s">
        <v>26</v>
      </c>
      <c r="F912">
        <v>1</v>
      </c>
      <c r="G912" s="3">
        <v>2592.8000000000002</v>
      </c>
      <c r="H912" s="4">
        <v>2592.8000000000002</v>
      </c>
      <c r="I912" s="18">
        <f>WEEKDAY(Table1[[#This Row],[Date]],3)</f>
        <v>3</v>
      </c>
    </row>
    <row r="913" spans="1:9" x14ac:dyDescent="0.3">
      <c r="A913" s="1">
        <v>45471</v>
      </c>
      <c r="B913" t="s">
        <v>29</v>
      </c>
      <c r="C913" t="s">
        <v>13</v>
      </c>
      <c r="D913" t="s">
        <v>15</v>
      </c>
      <c r="E913" t="s">
        <v>22</v>
      </c>
      <c r="F913">
        <v>2</v>
      </c>
      <c r="G913" s="3">
        <v>3896.5</v>
      </c>
      <c r="H913" s="4">
        <v>7793</v>
      </c>
      <c r="I913" s="18">
        <f>WEEKDAY(Table1[[#This Row],[Date]],3)</f>
        <v>4</v>
      </c>
    </row>
    <row r="914" spans="1:9" x14ac:dyDescent="0.3">
      <c r="A914" s="1">
        <v>45417</v>
      </c>
      <c r="B914" t="s">
        <v>25</v>
      </c>
      <c r="C914" t="s">
        <v>9</v>
      </c>
      <c r="D914" t="s">
        <v>15</v>
      </c>
      <c r="E914" t="s">
        <v>11</v>
      </c>
      <c r="F914">
        <v>15</v>
      </c>
      <c r="G914" s="3">
        <v>13199.08</v>
      </c>
      <c r="H914" s="4">
        <v>197986.2</v>
      </c>
      <c r="I914" s="18">
        <f>WEEKDAY(Table1[[#This Row],[Date]],3)</f>
        <v>6</v>
      </c>
    </row>
    <row r="915" spans="1:9" x14ac:dyDescent="0.3">
      <c r="A915" s="1">
        <v>45495</v>
      </c>
      <c r="B915" t="s">
        <v>14</v>
      </c>
      <c r="C915" t="s">
        <v>9</v>
      </c>
      <c r="D915" t="s">
        <v>21</v>
      </c>
      <c r="E915" t="s">
        <v>11</v>
      </c>
      <c r="F915">
        <v>17</v>
      </c>
      <c r="G915" s="3">
        <v>489.54</v>
      </c>
      <c r="H915" s="4">
        <v>8322.18</v>
      </c>
      <c r="I915" s="18">
        <f>WEEKDAY(Table1[[#This Row],[Date]],3)</f>
        <v>0</v>
      </c>
    </row>
    <row r="916" spans="1:9" x14ac:dyDescent="0.3">
      <c r="A916" s="1">
        <v>45478</v>
      </c>
      <c r="B916" t="s">
        <v>17</v>
      </c>
      <c r="C916" t="s">
        <v>24</v>
      </c>
      <c r="D916" t="s">
        <v>15</v>
      </c>
      <c r="E916" t="s">
        <v>19</v>
      </c>
      <c r="F916">
        <v>18</v>
      </c>
      <c r="G916" s="3">
        <v>3075.53</v>
      </c>
      <c r="H916" s="4">
        <v>55359.54</v>
      </c>
      <c r="I916" s="18">
        <f>WEEKDAY(Table1[[#This Row],[Date]],3)</f>
        <v>4</v>
      </c>
    </row>
    <row r="917" spans="1:9" x14ac:dyDescent="0.3">
      <c r="A917" s="1">
        <v>45562</v>
      </c>
      <c r="B917" t="s">
        <v>20</v>
      </c>
      <c r="C917" t="s">
        <v>13</v>
      </c>
      <c r="D917" t="s">
        <v>21</v>
      </c>
      <c r="E917" t="s">
        <v>22</v>
      </c>
      <c r="F917">
        <v>1</v>
      </c>
      <c r="G917" s="3">
        <v>6060.96</v>
      </c>
      <c r="H917" s="4">
        <v>6060.96</v>
      </c>
      <c r="I917" s="18">
        <f>WEEKDAY(Table1[[#This Row],[Date]],3)</f>
        <v>4</v>
      </c>
    </row>
    <row r="918" spans="1:9" x14ac:dyDescent="0.3">
      <c r="A918" s="1">
        <v>45316</v>
      </c>
      <c r="B918" t="s">
        <v>28</v>
      </c>
      <c r="C918" t="s">
        <v>13</v>
      </c>
      <c r="D918" t="s">
        <v>18</v>
      </c>
      <c r="E918" t="s">
        <v>26</v>
      </c>
      <c r="F918">
        <v>13</v>
      </c>
      <c r="G918" s="3">
        <v>1027.29</v>
      </c>
      <c r="H918" s="4">
        <v>13354.77</v>
      </c>
      <c r="I918" s="18">
        <f>WEEKDAY(Table1[[#This Row],[Date]],3)</f>
        <v>3</v>
      </c>
    </row>
    <row r="919" spans="1:9" x14ac:dyDescent="0.3">
      <c r="A919" s="1">
        <v>45411</v>
      </c>
      <c r="B919" t="s">
        <v>25</v>
      </c>
      <c r="C919" t="s">
        <v>9</v>
      </c>
      <c r="D919" t="s">
        <v>21</v>
      </c>
      <c r="E919" t="s">
        <v>16</v>
      </c>
      <c r="F919">
        <v>2</v>
      </c>
      <c r="G919" s="3">
        <v>14075.44</v>
      </c>
      <c r="H919" s="4">
        <v>28150.880000000001</v>
      </c>
      <c r="I919" s="18">
        <f>WEEKDAY(Table1[[#This Row],[Date]],3)</f>
        <v>0</v>
      </c>
    </row>
    <row r="920" spans="1:9" x14ac:dyDescent="0.3">
      <c r="A920" s="1">
        <v>45609</v>
      </c>
      <c r="B920" t="s">
        <v>14</v>
      </c>
      <c r="C920" t="s">
        <v>9</v>
      </c>
      <c r="D920" t="s">
        <v>21</v>
      </c>
      <c r="E920" t="s">
        <v>26</v>
      </c>
      <c r="F920">
        <v>17</v>
      </c>
      <c r="G920" s="3">
        <v>478.21</v>
      </c>
      <c r="H920" s="4">
        <v>8129.57</v>
      </c>
      <c r="I920" s="18">
        <f>WEEKDAY(Table1[[#This Row],[Date]],3)</f>
        <v>2</v>
      </c>
    </row>
    <row r="921" spans="1:9" x14ac:dyDescent="0.3">
      <c r="A921" s="1">
        <v>45385</v>
      </c>
      <c r="B921" t="s">
        <v>14</v>
      </c>
      <c r="C921" t="s">
        <v>24</v>
      </c>
      <c r="D921" t="s">
        <v>10</v>
      </c>
      <c r="E921" t="s">
        <v>16</v>
      </c>
      <c r="F921">
        <v>18</v>
      </c>
      <c r="G921" s="3">
        <v>738.41</v>
      </c>
      <c r="H921" s="4">
        <v>13291.38</v>
      </c>
      <c r="I921" s="18">
        <f>WEEKDAY(Table1[[#This Row],[Date]],3)</f>
        <v>2</v>
      </c>
    </row>
    <row r="922" spans="1:9" x14ac:dyDescent="0.3">
      <c r="A922" s="1">
        <v>45443</v>
      </c>
      <c r="B922" t="s">
        <v>12</v>
      </c>
      <c r="C922" t="s">
        <v>9</v>
      </c>
      <c r="D922" t="s">
        <v>18</v>
      </c>
      <c r="E922" t="s">
        <v>22</v>
      </c>
      <c r="F922">
        <v>10</v>
      </c>
      <c r="G922" s="3">
        <v>719.76</v>
      </c>
      <c r="H922" s="4">
        <v>7197.6</v>
      </c>
      <c r="I922" s="18">
        <f>WEEKDAY(Table1[[#This Row],[Date]],3)</f>
        <v>4</v>
      </c>
    </row>
    <row r="923" spans="1:9" x14ac:dyDescent="0.3">
      <c r="A923" s="1">
        <v>45392</v>
      </c>
      <c r="B923" t="s">
        <v>17</v>
      </c>
      <c r="C923" t="s">
        <v>9</v>
      </c>
      <c r="D923" t="s">
        <v>18</v>
      </c>
      <c r="E923" t="s">
        <v>26</v>
      </c>
      <c r="F923">
        <v>4</v>
      </c>
      <c r="G923" s="3">
        <v>3178.09</v>
      </c>
      <c r="H923" s="4">
        <v>12712.36</v>
      </c>
      <c r="I923" s="18">
        <f>WEEKDAY(Table1[[#This Row],[Date]],3)</f>
        <v>2</v>
      </c>
    </row>
    <row r="924" spans="1:9" x14ac:dyDescent="0.3">
      <c r="A924" s="1">
        <v>45338</v>
      </c>
      <c r="B924" t="s">
        <v>20</v>
      </c>
      <c r="C924" t="s">
        <v>9</v>
      </c>
      <c r="D924" t="s">
        <v>10</v>
      </c>
      <c r="E924" t="s">
        <v>11</v>
      </c>
      <c r="F924">
        <v>15</v>
      </c>
      <c r="G924" s="3">
        <v>4149.74</v>
      </c>
      <c r="H924" s="4">
        <v>62246.1</v>
      </c>
      <c r="I924" s="18">
        <f>WEEKDAY(Table1[[#This Row],[Date]],3)</f>
        <v>4</v>
      </c>
    </row>
    <row r="925" spans="1:9" x14ac:dyDescent="0.3">
      <c r="A925" s="1">
        <v>45538</v>
      </c>
      <c r="B925" t="s">
        <v>27</v>
      </c>
      <c r="C925" t="s">
        <v>24</v>
      </c>
      <c r="D925" t="s">
        <v>21</v>
      </c>
      <c r="E925" t="s">
        <v>22</v>
      </c>
      <c r="F925">
        <v>14</v>
      </c>
      <c r="G925" s="3">
        <v>1021.54</v>
      </c>
      <c r="H925" s="4">
        <v>14301.56</v>
      </c>
      <c r="I925" s="18">
        <f>WEEKDAY(Table1[[#This Row],[Date]],3)</f>
        <v>1</v>
      </c>
    </row>
    <row r="926" spans="1:9" x14ac:dyDescent="0.3">
      <c r="A926" s="1">
        <v>45629</v>
      </c>
      <c r="B926" t="s">
        <v>28</v>
      </c>
      <c r="C926" t="s">
        <v>13</v>
      </c>
      <c r="D926" t="s">
        <v>15</v>
      </c>
      <c r="E926" t="s">
        <v>26</v>
      </c>
      <c r="F926">
        <v>10</v>
      </c>
      <c r="G926" s="3">
        <v>1032.1400000000001</v>
      </c>
      <c r="H926" s="4">
        <v>10321.4</v>
      </c>
      <c r="I926" s="18">
        <f>WEEKDAY(Table1[[#This Row],[Date]],3)</f>
        <v>1</v>
      </c>
    </row>
    <row r="927" spans="1:9" x14ac:dyDescent="0.3">
      <c r="A927" s="1">
        <v>45367</v>
      </c>
      <c r="B927" t="s">
        <v>25</v>
      </c>
      <c r="C927" t="s">
        <v>13</v>
      </c>
      <c r="D927" t="s">
        <v>10</v>
      </c>
      <c r="E927" t="s">
        <v>11</v>
      </c>
      <c r="F927">
        <v>17</v>
      </c>
      <c r="G927" s="3">
        <v>18136.25</v>
      </c>
      <c r="H927" s="4">
        <v>308316.25</v>
      </c>
      <c r="I927" s="18">
        <f>WEEKDAY(Table1[[#This Row],[Date]],3)</f>
        <v>5</v>
      </c>
    </row>
    <row r="928" spans="1:9" x14ac:dyDescent="0.3">
      <c r="A928" s="1">
        <v>45646</v>
      </c>
      <c r="B928" t="s">
        <v>14</v>
      </c>
      <c r="C928" t="s">
        <v>9</v>
      </c>
      <c r="D928" t="s">
        <v>15</v>
      </c>
      <c r="E928" t="s">
        <v>19</v>
      </c>
      <c r="F928">
        <v>16</v>
      </c>
      <c r="G928" s="3">
        <v>434.78</v>
      </c>
      <c r="H928" s="4">
        <v>6956.48</v>
      </c>
      <c r="I928" s="18">
        <f>WEEKDAY(Table1[[#This Row],[Date]],3)</f>
        <v>4</v>
      </c>
    </row>
    <row r="929" spans="1:9" x14ac:dyDescent="0.3">
      <c r="A929" s="1">
        <v>45601</v>
      </c>
      <c r="B929" t="s">
        <v>25</v>
      </c>
      <c r="C929" t="s">
        <v>9</v>
      </c>
      <c r="D929" t="s">
        <v>18</v>
      </c>
      <c r="E929" t="s">
        <v>22</v>
      </c>
      <c r="F929">
        <v>16</v>
      </c>
      <c r="G929" s="3">
        <v>13987.2</v>
      </c>
      <c r="H929" s="4">
        <v>223795.20000000001</v>
      </c>
      <c r="I929" s="18">
        <f>WEEKDAY(Table1[[#This Row],[Date]],3)</f>
        <v>1</v>
      </c>
    </row>
    <row r="930" spans="1:9" x14ac:dyDescent="0.3">
      <c r="A930" s="1">
        <v>45491</v>
      </c>
      <c r="B930" t="s">
        <v>23</v>
      </c>
      <c r="C930" t="s">
        <v>24</v>
      </c>
      <c r="D930" t="s">
        <v>21</v>
      </c>
      <c r="E930" t="s">
        <v>19</v>
      </c>
      <c r="F930">
        <v>16</v>
      </c>
      <c r="G930" s="3">
        <v>1645.53</v>
      </c>
      <c r="H930" s="4">
        <v>26328.48</v>
      </c>
      <c r="I930" s="18">
        <f>WEEKDAY(Table1[[#This Row],[Date]],3)</f>
        <v>3</v>
      </c>
    </row>
    <row r="931" spans="1:9" x14ac:dyDescent="0.3">
      <c r="A931" s="1">
        <v>45625</v>
      </c>
      <c r="B931" t="s">
        <v>12</v>
      </c>
      <c r="C931" t="s">
        <v>24</v>
      </c>
      <c r="D931" t="s">
        <v>15</v>
      </c>
      <c r="E931" t="s">
        <v>26</v>
      </c>
      <c r="F931">
        <v>13</v>
      </c>
      <c r="G931" s="3">
        <v>835.46</v>
      </c>
      <c r="H931" s="4">
        <v>10860.98</v>
      </c>
      <c r="I931" s="18">
        <f>WEEKDAY(Table1[[#This Row],[Date]],3)</f>
        <v>4</v>
      </c>
    </row>
    <row r="932" spans="1:9" x14ac:dyDescent="0.3">
      <c r="A932" s="1">
        <v>45359</v>
      </c>
      <c r="B932" t="s">
        <v>12</v>
      </c>
      <c r="C932" t="s">
        <v>13</v>
      </c>
      <c r="D932" t="s">
        <v>15</v>
      </c>
      <c r="E932" t="s">
        <v>19</v>
      </c>
      <c r="F932">
        <v>17</v>
      </c>
      <c r="G932" s="3">
        <v>1114.9000000000001</v>
      </c>
      <c r="H932" s="4">
        <v>18953.3</v>
      </c>
      <c r="I932" s="18">
        <f>WEEKDAY(Table1[[#This Row],[Date]],3)</f>
        <v>4</v>
      </c>
    </row>
    <row r="933" spans="1:9" x14ac:dyDescent="0.3">
      <c r="A933" s="1">
        <v>45335</v>
      </c>
      <c r="B933" t="s">
        <v>25</v>
      </c>
      <c r="C933" t="s">
        <v>9</v>
      </c>
      <c r="D933" t="s">
        <v>15</v>
      </c>
      <c r="E933" t="s">
        <v>22</v>
      </c>
      <c r="F933">
        <v>12</v>
      </c>
      <c r="G933" s="3">
        <v>11611.05</v>
      </c>
      <c r="H933" s="4">
        <v>139332.6</v>
      </c>
      <c r="I933" s="18">
        <f>WEEKDAY(Table1[[#This Row],[Date]],3)</f>
        <v>1</v>
      </c>
    </row>
    <row r="934" spans="1:9" x14ac:dyDescent="0.3">
      <c r="A934" s="1">
        <v>45595</v>
      </c>
      <c r="B934" t="s">
        <v>8</v>
      </c>
      <c r="C934" t="s">
        <v>24</v>
      </c>
      <c r="D934" t="s">
        <v>15</v>
      </c>
      <c r="E934" t="s">
        <v>26</v>
      </c>
      <c r="F934">
        <v>15</v>
      </c>
      <c r="G934" s="3">
        <v>1080.24</v>
      </c>
      <c r="H934" s="4">
        <v>16203.6</v>
      </c>
      <c r="I934" s="18">
        <f>WEEKDAY(Table1[[#This Row],[Date]],3)</f>
        <v>2</v>
      </c>
    </row>
    <row r="935" spans="1:9" x14ac:dyDescent="0.3">
      <c r="A935" s="1">
        <v>45628</v>
      </c>
      <c r="B935" t="s">
        <v>17</v>
      </c>
      <c r="C935" t="s">
        <v>13</v>
      </c>
      <c r="D935" t="s">
        <v>15</v>
      </c>
      <c r="E935" t="s">
        <v>11</v>
      </c>
      <c r="F935">
        <v>12</v>
      </c>
      <c r="G935" s="3">
        <v>2801.3</v>
      </c>
      <c r="H935" s="4">
        <v>33615.599999999999</v>
      </c>
      <c r="I935" s="18">
        <f>WEEKDAY(Table1[[#This Row],[Date]],3)</f>
        <v>0</v>
      </c>
    </row>
    <row r="936" spans="1:9" x14ac:dyDescent="0.3">
      <c r="A936" s="1">
        <v>45391</v>
      </c>
      <c r="B936" t="s">
        <v>27</v>
      </c>
      <c r="C936" t="s">
        <v>24</v>
      </c>
      <c r="D936" t="s">
        <v>21</v>
      </c>
      <c r="E936" t="s">
        <v>16</v>
      </c>
      <c r="F936">
        <v>14</v>
      </c>
      <c r="G936" s="3">
        <v>592.85</v>
      </c>
      <c r="H936" s="4">
        <v>8299.9</v>
      </c>
      <c r="I936" s="18">
        <f>WEEKDAY(Table1[[#This Row],[Date]],3)</f>
        <v>1</v>
      </c>
    </row>
    <row r="937" spans="1:9" x14ac:dyDescent="0.3">
      <c r="A937" s="1">
        <v>45483</v>
      </c>
      <c r="B937" t="s">
        <v>8</v>
      </c>
      <c r="C937" t="s">
        <v>24</v>
      </c>
      <c r="D937" t="s">
        <v>15</v>
      </c>
      <c r="E937" t="s">
        <v>19</v>
      </c>
      <c r="F937">
        <v>19</v>
      </c>
      <c r="G937" s="3">
        <v>978.05</v>
      </c>
      <c r="H937" s="4">
        <v>18582.95</v>
      </c>
      <c r="I937" s="18">
        <f>WEEKDAY(Table1[[#This Row],[Date]],3)</f>
        <v>2</v>
      </c>
    </row>
    <row r="938" spans="1:9" x14ac:dyDescent="0.3">
      <c r="A938" s="1">
        <v>45339</v>
      </c>
      <c r="B938" t="s">
        <v>27</v>
      </c>
      <c r="C938" t="s">
        <v>24</v>
      </c>
      <c r="D938" t="s">
        <v>21</v>
      </c>
      <c r="E938" t="s">
        <v>11</v>
      </c>
      <c r="F938">
        <v>11</v>
      </c>
      <c r="G938" s="3">
        <v>600.45000000000005</v>
      </c>
      <c r="H938" s="4">
        <v>6604.95</v>
      </c>
      <c r="I938" s="18">
        <f>WEEKDAY(Table1[[#This Row],[Date]],3)</f>
        <v>5</v>
      </c>
    </row>
    <row r="939" spans="1:9" x14ac:dyDescent="0.3">
      <c r="A939" s="1">
        <v>45426</v>
      </c>
      <c r="B939" t="s">
        <v>28</v>
      </c>
      <c r="C939" t="s">
        <v>13</v>
      </c>
      <c r="D939" t="s">
        <v>10</v>
      </c>
      <c r="E939" t="s">
        <v>11</v>
      </c>
      <c r="F939">
        <v>5</v>
      </c>
      <c r="G939" s="3">
        <v>1123.96</v>
      </c>
      <c r="H939" s="4">
        <v>5619.8</v>
      </c>
      <c r="I939" s="18">
        <f>WEEKDAY(Table1[[#This Row],[Date]],3)</f>
        <v>1</v>
      </c>
    </row>
    <row r="940" spans="1:9" x14ac:dyDescent="0.3">
      <c r="A940" s="1">
        <v>45584</v>
      </c>
      <c r="B940" t="s">
        <v>20</v>
      </c>
      <c r="C940" t="s">
        <v>13</v>
      </c>
      <c r="D940" t="s">
        <v>10</v>
      </c>
      <c r="E940" t="s">
        <v>16</v>
      </c>
      <c r="F940">
        <v>6</v>
      </c>
      <c r="G940" s="3">
        <v>4135.24</v>
      </c>
      <c r="H940" s="4">
        <v>24811.439999999999</v>
      </c>
      <c r="I940" s="18">
        <f>WEEKDAY(Table1[[#This Row],[Date]],3)</f>
        <v>5</v>
      </c>
    </row>
    <row r="941" spans="1:9" x14ac:dyDescent="0.3">
      <c r="A941" s="1">
        <v>45619</v>
      </c>
      <c r="B941" t="s">
        <v>28</v>
      </c>
      <c r="C941" t="s">
        <v>9</v>
      </c>
      <c r="D941" t="s">
        <v>10</v>
      </c>
      <c r="E941" t="s">
        <v>22</v>
      </c>
      <c r="F941">
        <v>3</v>
      </c>
      <c r="G941" s="3">
        <v>883.76</v>
      </c>
      <c r="H941" s="4">
        <v>2651.28</v>
      </c>
      <c r="I941" s="18">
        <f>WEEKDAY(Table1[[#This Row],[Date]],3)</f>
        <v>5</v>
      </c>
    </row>
    <row r="942" spans="1:9" x14ac:dyDescent="0.3">
      <c r="A942" s="1">
        <v>45305</v>
      </c>
      <c r="B942" t="s">
        <v>12</v>
      </c>
      <c r="C942" t="s">
        <v>24</v>
      </c>
      <c r="D942" t="s">
        <v>21</v>
      </c>
      <c r="E942" t="s">
        <v>22</v>
      </c>
      <c r="F942">
        <v>9</v>
      </c>
      <c r="G942" s="3">
        <v>1073.69</v>
      </c>
      <c r="H942" s="4">
        <v>9663.2099999999991</v>
      </c>
      <c r="I942" s="18">
        <f>WEEKDAY(Table1[[#This Row],[Date]],3)</f>
        <v>6</v>
      </c>
    </row>
    <row r="943" spans="1:9" x14ac:dyDescent="0.3">
      <c r="A943" s="1">
        <v>45436</v>
      </c>
      <c r="B943" t="s">
        <v>27</v>
      </c>
      <c r="C943" t="s">
        <v>24</v>
      </c>
      <c r="D943" t="s">
        <v>10</v>
      </c>
      <c r="E943" t="s">
        <v>11</v>
      </c>
      <c r="F943">
        <v>1</v>
      </c>
      <c r="G943" s="3">
        <v>830.92</v>
      </c>
      <c r="H943" s="4">
        <v>830.92</v>
      </c>
      <c r="I943" s="18">
        <f>WEEKDAY(Table1[[#This Row],[Date]],3)</f>
        <v>4</v>
      </c>
    </row>
    <row r="944" spans="1:9" x14ac:dyDescent="0.3">
      <c r="A944" s="1">
        <v>45295</v>
      </c>
      <c r="B944" t="s">
        <v>12</v>
      </c>
      <c r="C944" t="s">
        <v>9</v>
      </c>
      <c r="D944" t="s">
        <v>15</v>
      </c>
      <c r="E944" t="s">
        <v>22</v>
      </c>
      <c r="F944">
        <v>4</v>
      </c>
      <c r="G944" s="3">
        <v>944.65</v>
      </c>
      <c r="H944" s="4">
        <v>3778.6</v>
      </c>
      <c r="I944" s="18">
        <f>WEEKDAY(Table1[[#This Row],[Date]],3)</f>
        <v>3</v>
      </c>
    </row>
    <row r="945" spans="1:9" x14ac:dyDescent="0.3">
      <c r="A945" s="1">
        <v>45310</v>
      </c>
      <c r="B945" t="s">
        <v>17</v>
      </c>
      <c r="C945" t="s">
        <v>9</v>
      </c>
      <c r="D945" t="s">
        <v>15</v>
      </c>
      <c r="E945" t="s">
        <v>22</v>
      </c>
      <c r="F945">
        <v>6</v>
      </c>
      <c r="G945" s="3">
        <v>2038.04</v>
      </c>
      <c r="H945" s="4">
        <v>12228.24</v>
      </c>
      <c r="I945" s="18">
        <f>WEEKDAY(Table1[[#This Row],[Date]],3)</f>
        <v>4</v>
      </c>
    </row>
    <row r="946" spans="1:9" x14ac:dyDescent="0.3">
      <c r="A946" s="1">
        <v>45598</v>
      </c>
      <c r="B946" t="s">
        <v>20</v>
      </c>
      <c r="C946" t="s">
        <v>13</v>
      </c>
      <c r="D946" t="s">
        <v>21</v>
      </c>
      <c r="E946" t="s">
        <v>26</v>
      </c>
      <c r="F946">
        <v>2</v>
      </c>
      <c r="G946" s="3">
        <v>5085.97</v>
      </c>
      <c r="H946" s="4">
        <v>10171.94</v>
      </c>
      <c r="I946" s="18">
        <f>WEEKDAY(Table1[[#This Row],[Date]],3)</f>
        <v>5</v>
      </c>
    </row>
    <row r="947" spans="1:9" x14ac:dyDescent="0.3">
      <c r="A947" s="1">
        <v>45430</v>
      </c>
      <c r="B947" t="s">
        <v>28</v>
      </c>
      <c r="C947" t="s">
        <v>24</v>
      </c>
      <c r="D947" t="s">
        <v>18</v>
      </c>
      <c r="E947" t="s">
        <v>19</v>
      </c>
      <c r="F947">
        <v>16</v>
      </c>
      <c r="G947" s="3">
        <v>811.47</v>
      </c>
      <c r="H947" s="4">
        <v>12983.52</v>
      </c>
      <c r="I947" s="18">
        <f>WEEKDAY(Table1[[#This Row],[Date]],3)</f>
        <v>5</v>
      </c>
    </row>
    <row r="948" spans="1:9" x14ac:dyDescent="0.3">
      <c r="A948" s="1">
        <v>45653</v>
      </c>
      <c r="B948" t="s">
        <v>29</v>
      </c>
      <c r="C948" t="s">
        <v>24</v>
      </c>
      <c r="D948" t="s">
        <v>18</v>
      </c>
      <c r="E948" t="s">
        <v>16</v>
      </c>
      <c r="F948">
        <v>12</v>
      </c>
      <c r="G948" s="3">
        <v>3178.7</v>
      </c>
      <c r="H948" s="4">
        <v>38144.400000000001</v>
      </c>
      <c r="I948" s="18">
        <f>WEEKDAY(Table1[[#This Row],[Date]],3)</f>
        <v>4</v>
      </c>
    </row>
    <row r="949" spans="1:9" x14ac:dyDescent="0.3">
      <c r="A949" s="1">
        <v>45458</v>
      </c>
      <c r="B949" t="s">
        <v>8</v>
      </c>
      <c r="C949" t="s">
        <v>13</v>
      </c>
      <c r="D949" t="s">
        <v>10</v>
      </c>
      <c r="E949" t="s">
        <v>26</v>
      </c>
      <c r="F949">
        <v>1</v>
      </c>
      <c r="G949" s="3">
        <v>1361.78</v>
      </c>
      <c r="H949" s="4">
        <v>1361.78</v>
      </c>
      <c r="I949" s="18">
        <f>WEEKDAY(Table1[[#This Row],[Date]],3)</f>
        <v>5</v>
      </c>
    </row>
    <row r="950" spans="1:9" x14ac:dyDescent="0.3">
      <c r="A950" s="1">
        <v>45585</v>
      </c>
      <c r="B950" t="s">
        <v>29</v>
      </c>
      <c r="C950" t="s">
        <v>9</v>
      </c>
      <c r="D950" t="s">
        <v>21</v>
      </c>
      <c r="E950" t="s">
        <v>19</v>
      </c>
      <c r="F950">
        <v>10</v>
      </c>
      <c r="G950" s="3">
        <v>4383.13</v>
      </c>
      <c r="H950" s="4">
        <v>43831.3</v>
      </c>
      <c r="I950" s="18">
        <f>WEEKDAY(Table1[[#This Row],[Date]],3)</f>
        <v>6</v>
      </c>
    </row>
    <row r="951" spans="1:9" x14ac:dyDescent="0.3">
      <c r="A951" s="1">
        <v>45436</v>
      </c>
      <c r="B951" t="s">
        <v>27</v>
      </c>
      <c r="C951" t="s">
        <v>24</v>
      </c>
      <c r="D951" t="s">
        <v>15</v>
      </c>
      <c r="E951" t="s">
        <v>11</v>
      </c>
      <c r="F951">
        <v>10</v>
      </c>
      <c r="G951" s="3">
        <v>882.92</v>
      </c>
      <c r="H951" s="4">
        <v>8829.2000000000007</v>
      </c>
      <c r="I951" s="18">
        <f>WEEKDAY(Table1[[#This Row],[Date]],3)</f>
        <v>4</v>
      </c>
    </row>
    <row r="952" spans="1:9" x14ac:dyDescent="0.3">
      <c r="A952" s="1">
        <v>45539</v>
      </c>
      <c r="B952" t="s">
        <v>29</v>
      </c>
      <c r="C952" t="s">
        <v>9</v>
      </c>
      <c r="D952" t="s">
        <v>18</v>
      </c>
      <c r="E952" t="s">
        <v>26</v>
      </c>
      <c r="F952">
        <v>18</v>
      </c>
      <c r="G952" s="3">
        <v>2607.2800000000002</v>
      </c>
      <c r="H952" s="4">
        <v>46931.040000000001</v>
      </c>
      <c r="I952" s="18">
        <f>WEEKDAY(Table1[[#This Row],[Date]],3)</f>
        <v>2</v>
      </c>
    </row>
    <row r="953" spans="1:9" x14ac:dyDescent="0.3">
      <c r="A953" s="1">
        <v>45604</v>
      </c>
      <c r="B953" t="s">
        <v>8</v>
      </c>
      <c r="C953" t="s">
        <v>24</v>
      </c>
      <c r="D953" t="s">
        <v>10</v>
      </c>
      <c r="E953" t="s">
        <v>22</v>
      </c>
      <c r="F953">
        <v>14</v>
      </c>
      <c r="G953" s="3">
        <v>1436.14</v>
      </c>
      <c r="H953" s="4">
        <v>20105.96</v>
      </c>
      <c r="I953" s="18">
        <f>WEEKDAY(Table1[[#This Row],[Date]],3)</f>
        <v>4</v>
      </c>
    </row>
    <row r="954" spans="1:9" x14ac:dyDescent="0.3">
      <c r="A954" s="1">
        <v>45323</v>
      </c>
      <c r="B954" t="s">
        <v>12</v>
      </c>
      <c r="C954" t="s">
        <v>24</v>
      </c>
      <c r="D954" t="s">
        <v>18</v>
      </c>
      <c r="E954" t="s">
        <v>11</v>
      </c>
      <c r="F954">
        <v>2</v>
      </c>
      <c r="G954" s="3">
        <v>847.25</v>
      </c>
      <c r="H954" s="4">
        <v>1694.5</v>
      </c>
      <c r="I954" s="18">
        <f>WEEKDAY(Table1[[#This Row],[Date]],3)</f>
        <v>3</v>
      </c>
    </row>
    <row r="955" spans="1:9" x14ac:dyDescent="0.3">
      <c r="A955" s="1">
        <v>45523</v>
      </c>
      <c r="B955" t="s">
        <v>23</v>
      </c>
      <c r="C955" t="s">
        <v>9</v>
      </c>
      <c r="D955" t="s">
        <v>10</v>
      </c>
      <c r="E955" t="s">
        <v>26</v>
      </c>
      <c r="F955">
        <v>2</v>
      </c>
      <c r="G955" s="3">
        <v>1286.17</v>
      </c>
      <c r="H955" s="4">
        <v>2572.34</v>
      </c>
      <c r="I955" s="18">
        <f>WEEKDAY(Table1[[#This Row],[Date]],3)</f>
        <v>0</v>
      </c>
    </row>
    <row r="956" spans="1:9" x14ac:dyDescent="0.3">
      <c r="A956" s="1">
        <v>45520</v>
      </c>
      <c r="B956" t="s">
        <v>17</v>
      </c>
      <c r="C956" t="s">
        <v>13</v>
      </c>
      <c r="D956" t="s">
        <v>10</v>
      </c>
      <c r="E956" t="s">
        <v>22</v>
      </c>
      <c r="F956">
        <v>18</v>
      </c>
      <c r="G956" s="3">
        <v>2248.64</v>
      </c>
      <c r="H956" s="4">
        <v>40475.519999999997</v>
      </c>
      <c r="I956" s="18">
        <f>WEEKDAY(Table1[[#This Row],[Date]],3)</f>
        <v>4</v>
      </c>
    </row>
    <row r="957" spans="1:9" x14ac:dyDescent="0.3">
      <c r="A957" s="1">
        <v>45379</v>
      </c>
      <c r="B957" t="s">
        <v>14</v>
      </c>
      <c r="C957" t="s">
        <v>9</v>
      </c>
      <c r="D957" t="s">
        <v>15</v>
      </c>
      <c r="E957" t="s">
        <v>19</v>
      </c>
      <c r="F957">
        <v>10</v>
      </c>
      <c r="G957" s="3">
        <v>565.53</v>
      </c>
      <c r="H957" s="4">
        <v>5655.3</v>
      </c>
      <c r="I957" s="18">
        <f>WEEKDAY(Table1[[#This Row],[Date]],3)</f>
        <v>3</v>
      </c>
    </row>
    <row r="958" spans="1:9" x14ac:dyDescent="0.3">
      <c r="A958" s="1">
        <v>45468</v>
      </c>
      <c r="B958" t="s">
        <v>17</v>
      </c>
      <c r="C958" t="s">
        <v>24</v>
      </c>
      <c r="D958" t="s">
        <v>15</v>
      </c>
      <c r="E958" t="s">
        <v>19</v>
      </c>
      <c r="F958">
        <v>1</v>
      </c>
      <c r="G958" s="3">
        <v>2651.19</v>
      </c>
      <c r="H958" s="4">
        <v>2651.19</v>
      </c>
      <c r="I958" s="18">
        <f>WEEKDAY(Table1[[#This Row],[Date]],3)</f>
        <v>1</v>
      </c>
    </row>
    <row r="959" spans="1:9" x14ac:dyDescent="0.3">
      <c r="A959" s="1">
        <v>45587</v>
      </c>
      <c r="B959" t="s">
        <v>20</v>
      </c>
      <c r="C959" t="s">
        <v>24</v>
      </c>
      <c r="D959" t="s">
        <v>10</v>
      </c>
      <c r="E959" t="s">
        <v>22</v>
      </c>
      <c r="F959">
        <v>5</v>
      </c>
      <c r="G959" s="3">
        <v>4370.13</v>
      </c>
      <c r="H959" s="4">
        <v>21850.65</v>
      </c>
      <c r="I959" s="18">
        <f>WEEKDAY(Table1[[#This Row],[Date]],3)</f>
        <v>1</v>
      </c>
    </row>
    <row r="960" spans="1:9" x14ac:dyDescent="0.3">
      <c r="A960" s="1">
        <v>45570</v>
      </c>
      <c r="B960" t="s">
        <v>29</v>
      </c>
      <c r="C960" t="s">
        <v>9</v>
      </c>
      <c r="D960" t="s">
        <v>21</v>
      </c>
      <c r="E960" t="s">
        <v>22</v>
      </c>
      <c r="F960">
        <v>8</v>
      </c>
      <c r="G960" s="3">
        <v>2811.02</v>
      </c>
      <c r="H960" s="4">
        <v>22488.16</v>
      </c>
      <c r="I960" s="18">
        <f>WEEKDAY(Table1[[#This Row],[Date]],3)</f>
        <v>5</v>
      </c>
    </row>
    <row r="961" spans="1:9" x14ac:dyDescent="0.3">
      <c r="A961" s="1">
        <v>45403</v>
      </c>
      <c r="B961" t="s">
        <v>28</v>
      </c>
      <c r="C961" t="s">
        <v>24</v>
      </c>
      <c r="D961" t="s">
        <v>15</v>
      </c>
      <c r="E961" t="s">
        <v>16</v>
      </c>
      <c r="F961">
        <v>19</v>
      </c>
      <c r="G961" s="3">
        <v>905.97</v>
      </c>
      <c r="H961" s="4">
        <v>17213.43</v>
      </c>
      <c r="I961" s="18">
        <f>WEEKDAY(Table1[[#This Row],[Date]],3)</f>
        <v>6</v>
      </c>
    </row>
    <row r="962" spans="1:9" x14ac:dyDescent="0.3">
      <c r="A962" s="1">
        <v>45381</v>
      </c>
      <c r="B962" t="s">
        <v>14</v>
      </c>
      <c r="C962" t="s">
        <v>13</v>
      </c>
      <c r="D962" t="s">
        <v>15</v>
      </c>
      <c r="E962" t="s">
        <v>22</v>
      </c>
      <c r="F962">
        <v>12</v>
      </c>
      <c r="G962" s="3">
        <v>746.24</v>
      </c>
      <c r="H962" s="4">
        <v>8954.8799999999992</v>
      </c>
      <c r="I962" s="18">
        <f>WEEKDAY(Table1[[#This Row],[Date]],3)</f>
        <v>5</v>
      </c>
    </row>
    <row r="963" spans="1:9" x14ac:dyDescent="0.3">
      <c r="A963" s="1">
        <v>45399</v>
      </c>
      <c r="B963" t="s">
        <v>17</v>
      </c>
      <c r="C963" t="s">
        <v>9</v>
      </c>
      <c r="D963" t="s">
        <v>18</v>
      </c>
      <c r="E963" t="s">
        <v>19</v>
      </c>
      <c r="F963">
        <v>2</v>
      </c>
      <c r="G963" s="3">
        <v>1765.83</v>
      </c>
      <c r="H963" s="4">
        <v>3531.66</v>
      </c>
      <c r="I963" s="18">
        <f>WEEKDAY(Table1[[#This Row],[Date]],3)</f>
        <v>2</v>
      </c>
    </row>
    <row r="964" spans="1:9" x14ac:dyDescent="0.3">
      <c r="A964" s="1">
        <v>45573</v>
      </c>
      <c r="B964" t="s">
        <v>12</v>
      </c>
      <c r="C964" t="s">
        <v>13</v>
      </c>
      <c r="D964" t="s">
        <v>21</v>
      </c>
      <c r="E964" t="s">
        <v>19</v>
      </c>
      <c r="F964">
        <v>9</v>
      </c>
      <c r="G964" s="3">
        <v>849.46</v>
      </c>
      <c r="H964" s="4">
        <v>7645.14</v>
      </c>
      <c r="I964" s="18">
        <f>WEEKDAY(Table1[[#This Row],[Date]],3)</f>
        <v>1</v>
      </c>
    </row>
    <row r="965" spans="1:9" x14ac:dyDescent="0.3">
      <c r="A965" s="1">
        <v>45296</v>
      </c>
      <c r="B965" t="s">
        <v>12</v>
      </c>
      <c r="C965" t="s">
        <v>9</v>
      </c>
      <c r="D965" t="s">
        <v>18</v>
      </c>
      <c r="E965" t="s">
        <v>16</v>
      </c>
      <c r="F965">
        <v>14</v>
      </c>
      <c r="G965" s="3">
        <v>797.23</v>
      </c>
      <c r="H965" s="4">
        <v>11161.22</v>
      </c>
      <c r="I965" s="18">
        <f>WEEKDAY(Table1[[#This Row],[Date]],3)</f>
        <v>4</v>
      </c>
    </row>
    <row r="966" spans="1:9" x14ac:dyDescent="0.3">
      <c r="A966" s="1">
        <v>45653</v>
      </c>
      <c r="B966" t="s">
        <v>14</v>
      </c>
      <c r="C966" t="s">
        <v>13</v>
      </c>
      <c r="D966" t="s">
        <v>10</v>
      </c>
      <c r="E966" t="s">
        <v>19</v>
      </c>
      <c r="F966">
        <v>3</v>
      </c>
      <c r="G966" s="3">
        <v>528.35</v>
      </c>
      <c r="H966" s="4">
        <v>1585.05</v>
      </c>
      <c r="I966" s="18">
        <f>WEEKDAY(Table1[[#This Row],[Date]],3)</f>
        <v>4</v>
      </c>
    </row>
    <row r="967" spans="1:9" x14ac:dyDescent="0.3">
      <c r="A967" s="1">
        <v>45531</v>
      </c>
      <c r="B967" t="s">
        <v>8</v>
      </c>
      <c r="C967" t="s">
        <v>9</v>
      </c>
      <c r="D967" t="s">
        <v>15</v>
      </c>
      <c r="E967" t="s">
        <v>26</v>
      </c>
      <c r="F967">
        <v>4</v>
      </c>
      <c r="G967" s="3">
        <v>1002.57</v>
      </c>
      <c r="H967" s="4">
        <v>4010.28</v>
      </c>
      <c r="I967" s="18">
        <f>WEEKDAY(Table1[[#This Row],[Date]],3)</f>
        <v>1</v>
      </c>
    </row>
    <row r="968" spans="1:9" x14ac:dyDescent="0.3">
      <c r="A968" s="1">
        <v>45317</v>
      </c>
      <c r="B968" t="s">
        <v>28</v>
      </c>
      <c r="C968" t="s">
        <v>13</v>
      </c>
      <c r="D968" t="s">
        <v>18</v>
      </c>
      <c r="E968" t="s">
        <v>16</v>
      </c>
      <c r="F968">
        <v>16</v>
      </c>
      <c r="G968" s="3">
        <v>851.52</v>
      </c>
      <c r="H968" s="4">
        <v>13624.32</v>
      </c>
      <c r="I968" s="18">
        <f>WEEKDAY(Table1[[#This Row],[Date]],3)</f>
        <v>4</v>
      </c>
    </row>
    <row r="969" spans="1:9" x14ac:dyDescent="0.3">
      <c r="A969" s="1">
        <v>45510</v>
      </c>
      <c r="B969" t="s">
        <v>23</v>
      </c>
      <c r="C969" t="s">
        <v>9</v>
      </c>
      <c r="D969" t="s">
        <v>10</v>
      </c>
      <c r="E969" t="s">
        <v>11</v>
      </c>
      <c r="F969">
        <v>16</v>
      </c>
      <c r="G969" s="3">
        <v>1357.68</v>
      </c>
      <c r="H969" s="4">
        <v>21722.880000000001</v>
      </c>
      <c r="I969" s="18">
        <f>WEEKDAY(Table1[[#This Row],[Date]],3)</f>
        <v>1</v>
      </c>
    </row>
    <row r="970" spans="1:9" x14ac:dyDescent="0.3">
      <c r="A970" s="1">
        <v>45546</v>
      </c>
      <c r="B970" t="s">
        <v>8</v>
      </c>
      <c r="C970" t="s">
        <v>13</v>
      </c>
      <c r="D970" t="s">
        <v>18</v>
      </c>
      <c r="E970" t="s">
        <v>22</v>
      </c>
      <c r="F970">
        <v>12</v>
      </c>
      <c r="G970" s="3">
        <v>1160.99</v>
      </c>
      <c r="H970" s="4">
        <v>13931.88</v>
      </c>
      <c r="I970" s="18">
        <f>WEEKDAY(Table1[[#This Row],[Date]],3)</f>
        <v>2</v>
      </c>
    </row>
    <row r="971" spans="1:9" x14ac:dyDescent="0.3">
      <c r="A971" s="1">
        <v>45648</v>
      </c>
      <c r="B971" t="s">
        <v>25</v>
      </c>
      <c r="C971" t="s">
        <v>9</v>
      </c>
      <c r="D971" t="s">
        <v>21</v>
      </c>
      <c r="E971" t="s">
        <v>16</v>
      </c>
      <c r="F971">
        <v>3</v>
      </c>
      <c r="G971" s="3">
        <v>11703.26</v>
      </c>
      <c r="H971" s="4">
        <v>35109.78</v>
      </c>
      <c r="I971" s="18">
        <f>WEEKDAY(Table1[[#This Row],[Date]],3)</f>
        <v>6</v>
      </c>
    </row>
    <row r="972" spans="1:9" x14ac:dyDescent="0.3">
      <c r="A972" s="1">
        <v>45517</v>
      </c>
      <c r="B972" t="s">
        <v>23</v>
      </c>
      <c r="C972" t="s">
        <v>24</v>
      </c>
      <c r="D972" t="s">
        <v>18</v>
      </c>
      <c r="E972" t="s">
        <v>22</v>
      </c>
      <c r="F972">
        <v>14</v>
      </c>
      <c r="G972" s="3">
        <v>1139.31</v>
      </c>
      <c r="H972" s="4">
        <v>15950.34</v>
      </c>
      <c r="I972" s="18">
        <f>WEEKDAY(Table1[[#This Row],[Date]],3)</f>
        <v>1</v>
      </c>
    </row>
    <row r="973" spans="1:9" x14ac:dyDescent="0.3">
      <c r="A973" s="1">
        <v>45615</v>
      </c>
      <c r="B973" t="s">
        <v>28</v>
      </c>
      <c r="C973" t="s">
        <v>9</v>
      </c>
      <c r="D973" t="s">
        <v>10</v>
      </c>
      <c r="E973" t="s">
        <v>26</v>
      </c>
      <c r="F973">
        <v>8</v>
      </c>
      <c r="G973" s="3">
        <v>1254.2</v>
      </c>
      <c r="H973" s="4">
        <v>10033.6</v>
      </c>
      <c r="I973" s="18">
        <f>WEEKDAY(Table1[[#This Row],[Date]],3)</f>
        <v>1</v>
      </c>
    </row>
    <row r="974" spans="1:9" x14ac:dyDescent="0.3">
      <c r="A974" s="1">
        <v>45598</v>
      </c>
      <c r="B974" t="s">
        <v>12</v>
      </c>
      <c r="C974" t="s">
        <v>13</v>
      </c>
      <c r="D974" t="s">
        <v>18</v>
      </c>
      <c r="E974" t="s">
        <v>16</v>
      </c>
      <c r="F974">
        <v>19</v>
      </c>
      <c r="G974" s="3">
        <v>760.82</v>
      </c>
      <c r="H974" s="4">
        <v>14455.58</v>
      </c>
      <c r="I974" s="18">
        <f>WEEKDAY(Table1[[#This Row],[Date]],3)</f>
        <v>5</v>
      </c>
    </row>
    <row r="975" spans="1:9" x14ac:dyDescent="0.3">
      <c r="A975" s="1">
        <v>45301</v>
      </c>
      <c r="B975" t="s">
        <v>29</v>
      </c>
      <c r="C975" t="s">
        <v>13</v>
      </c>
      <c r="D975" t="s">
        <v>15</v>
      </c>
      <c r="E975" t="s">
        <v>19</v>
      </c>
      <c r="F975">
        <v>12</v>
      </c>
      <c r="G975" s="3">
        <v>2951.93</v>
      </c>
      <c r="H975" s="4">
        <v>35423.160000000003</v>
      </c>
      <c r="I975" s="18">
        <f>WEEKDAY(Table1[[#This Row],[Date]],3)</f>
        <v>2</v>
      </c>
    </row>
    <row r="976" spans="1:9" x14ac:dyDescent="0.3">
      <c r="A976" s="1">
        <v>45392</v>
      </c>
      <c r="B976" t="s">
        <v>27</v>
      </c>
      <c r="C976" t="s">
        <v>9</v>
      </c>
      <c r="D976" t="s">
        <v>18</v>
      </c>
      <c r="E976" t="s">
        <v>16</v>
      </c>
      <c r="F976">
        <v>18</v>
      </c>
      <c r="G976" s="3">
        <v>915.62</v>
      </c>
      <c r="H976" s="4">
        <v>16481.16</v>
      </c>
      <c r="I976" s="18">
        <f>WEEKDAY(Table1[[#This Row],[Date]],3)</f>
        <v>2</v>
      </c>
    </row>
    <row r="977" spans="1:9" x14ac:dyDescent="0.3">
      <c r="A977" s="1">
        <v>45354</v>
      </c>
      <c r="B977" t="s">
        <v>20</v>
      </c>
      <c r="C977" t="s">
        <v>13</v>
      </c>
      <c r="D977" t="s">
        <v>15</v>
      </c>
      <c r="E977" t="s">
        <v>26</v>
      </c>
      <c r="F977">
        <v>14</v>
      </c>
      <c r="G977" s="3">
        <v>4681.2700000000004</v>
      </c>
      <c r="H977" s="4">
        <v>65537.78</v>
      </c>
      <c r="I977" s="18">
        <f>WEEKDAY(Table1[[#This Row],[Date]],3)</f>
        <v>6</v>
      </c>
    </row>
    <row r="978" spans="1:9" x14ac:dyDescent="0.3">
      <c r="A978" s="1">
        <v>45546</v>
      </c>
      <c r="B978" t="s">
        <v>17</v>
      </c>
      <c r="C978" t="s">
        <v>13</v>
      </c>
      <c r="D978" t="s">
        <v>21</v>
      </c>
      <c r="E978" t="s">
        <v>22</v>
      </c>
      <c r="F978">
        <v>16</v>
      </c>
      <c r="G978" s="3">
        <v>1837.69</v>
      </c>
      <c r="H978" s="4">
        <v>29403.040000000001</v>
      </c>
      <c r="I978" s="18">
        <f>WEEKDAY(Table1[[#This Row],[Date]],3)</f>
        <v>2</v>
      </c>
    </row>
    <row r="979" spans="1:9" x14ac:dyDescent="0.3">
      <c r="A979" s="1">
        <v>45360</v>
      </c>
      <c r="B979" t="s">
        <v>17</v>
      </c>
      <c r="C979" t="s">
        <v>24</v>
      </c>
      <c r="D979" t="s">
        <v>18</v>
      </c>
      <c r="E979" t="s">
        <v>22</v>
      </c>
      <c r="F979">
        <v>17</v>
      </c>
      <c r="G979" s="3">
        <v>2349.9699999999998</v>
      </c>
      <c r="H979" s="4">
        <v>39949.49</v>
      </c>
      <c r="I979" s="18">
        <f>WEEKDAY(Table1[[#This Row],[Date]],3)</f>
        <v>5</v>
      </c>
    </row>
    <row r="980" spans="1:9" x14ac:dyDescent="0.3">
      <c r="A980" s="1">
        <v>45638</v>
      </c>
      <c r="B980" t="s">
        <v>14</v>
      </c>
      <c r="C980" t="s">
        <v>13</v>
      </c>
      <c r="D980" t="s">
        <v>15</v>
      </c>
      <c r="E980" t="s">
        <v>22</v>
      </c>
      <c r="F980">
        <v>7</v>
      </c>
      <c r="G980" s="3">
        <v>426</v>
      </c>
      <c r="H980" s="4">
        <v>2982</v>
      </c>
      <c r="I980" s="18">
        <f>WEEKDAY(Table1[[#This Row],[Date]],3)</f>
        <v>3</v>
      </c>
    </row>
    <row r="981" spans="1:9" x14ac:dyDescent="0.3">
      <c r="A981" s="1">
        <v>45585</v>
      </c>
      <c r="B981" t="s">
        <v>23</v>
      </c>
      <c r="C981" t="s">
        <v>24</v>
      </c>
      <c r="D981" t="s">
        <v>21</v>
      </c>
      <c r="E981" t="s">
        <v>26</v>
      </c>
      <c r="F981">
        <v>9</v>
      </c>
      <c r="G981" s="3">
        <v>1576.77</v>
      </c>
      <c r="H981" s="4">
        <v>14190.93</v>
      </c>
      <c r="I981" s="18">
        <f>WEEKDAY(Table1[[#This Row],[Date]],3)</f>
        <v>6</v>
      </c>
    </row>
    <row r="982" spans="1:9" x14ac:dyDescent="0.3">
      <c r="A982" s="1">
        <v>45506</v>
      </c>
      <c r="B982" t="s">
        <v>17</v>
      </c>
      <c r="C982" t="s">
        <v>9</v>
      </c>
      <c r="D982" t="s">
        <v>21</v>
      </c>
      <c r="E982" t="s">
        <v>11</v>
      </c>
      <c r="F982">
        <v>11</v>
      </c>
      <c r="G982" s="3">
        <v>2502.92</v>
      </c>
      <c r="H982" s="4">
        <v>27532.12</v>
      </c>
      <c r="I982" s="18">
        <f>WEEKDAY(Table1[[#This Row],[Date]],3)</f>
        <v>4</v>
      </c>
    </row>
    <row r="983" spans="1:9" x14ac:dyDescent="0.3">
      <c r="A983" s="1">
        <v>45507</v>
      </c>
      <c r="B983" t="s">
        <v>25</v>
      </c>
      <c r="C983" t="s">
        <v>24</v>
      </c>
      <c r="D983" t="s">
        <v>21</v>
      </c>
      <c r="E983" t="s">
        <v>26</v>
      </c>
      <c r="F983">
        <v>15</v>
      </c>
      <c r="G983" s="3">
        <v>16956.259999999998</v>
      </c>
      <c r="H983" s="4">
        <v>254343.9</v>
      </c>
      <c r="I983" s="18">
        <f>WEEKDAY(Table1[[#This Row],[Date]],3)</f>
        <v>5</v>
      </c>
    </row>
    <row r="984" spans="1:9" x14ac:dyDescent="0.3">
      <c r="A984" s="1">
        <v>45318</v>
      </c>
      <c r="B984" t="s">
        <v>8</v>
      </c>
      <c r="C984" t="s">
        <v>24</v>
      </c>
      <c r="D984" t="s">
        <v>21</v>
      </c>
      <c r="E984" t="s">
        <v>19</v>
      </c>
      <c r="F984">
        <v>3</v>
      </c>
      <c r="G984" s="3">
        <v>1341.96</v>
      </c>
      <c r="H984" s="4">
        <v>4025.88</v>
      </c>
      <c r="I984" s="18">
        <f>WEEKDAY(Table1[[#This Row],[Date]],3)</f>
        <v>5</v>
      </c>
    </row>
    <row r="985" spans="1:9" x14ac:dyDescent="0.3">
      <c r="A985" s="1">
        <v>45633</v>
      </c>
      <c r="B985" t="s">
        <v>17</v>
      </c>
      <c r="C985" t="s">
        <v>9</v>
      </c>
      <c r="D985" t="s">
        <v>15</v>
      </c>
      <c r="E985" t="s">
        <v>19</v>
      </c>
      <c r="F985">
        <v>17</v>
      </c>
      <c r="G985" s="3">
        <v>1916.73</v>
      </c>
      <c r="H985" s="4">
        <v>32584.41</v>
      </c>
      <c r="I985" s="18">
        <f>WEEKDAY(Table1[[#This Row],[Date]],3)</f>
        <v>5</v>
      </c>
    </row>
    <row r="986" spans="1:9" x14ac:dyDescent="0.3">
      <c r="A986" s="1">
        <v>45603</v>
      </c>
      <c r="B986" t="s">
        <v>8</v>
      </c>
      <c r="C986" t="s">
        <v>13</v>
      </c>
      <c r="D986" t="s">
        <v>21</v>
      </c>
      <c r="E986" t="s">
        <v>22</v>
      </c>
      <c r="F986">
        <v>15</v>
      </c>
      <c r="G986" s="3">
        <v>1432.35</v>
      </c>
      <c r="H986" s="4">
        <v>21485.25</v>
      </c>
      <c r="I986" s="18">
        <f>WEEKDAY(Table1[[#This Row],[Date]],3)</f>
        <v>3</v>
      </c>
    </row>
    <row r="987" spans="1:9" x14ac:dyDescent="0.3">
      <c r="A987" s="1">
        <v>45307</v>
      </c>
      <c r="B987" t="s">
        <v>28</v>
      </c>
      <c r="C987" t="s">
        <v>9</v>
      </c>
      <c r="D987" t="s">
        <v>10</v>
      </c>
      <c r="E987" t="s">
        <v>26</v>
      </c>
      <c r="F987">
        <v>18</v>
      </c>
      <c r="G987" s="3">
        <v>1203.67</v>
      </c>
      <c r="H987" s="4">
        <v>21666.06</v>
      </c>
      <c r="I987" s="18">
        <f>WEEKDAY(Table1[[#This Row],[Date]],3)</f>
        <v>1</v>
      </c>
    </row>
    <row r="988" spans="1:9" x14ac:dyDescent="0.3">
      <c r="A988" s="1">
        <v>45336</v>
      </c>
      <c r="B988" t="s">
        <v>17</v>
      </c>
      <c r="C988" t="s">
        <v>24</v>
      </c>
      <c r="D988" t="s">
        <v>15</v>
      </c>
      <c r="E988" t="s">
        <v>19</v>
      </c>
      <c r="F988">
        <v>4</v>
      </c>
      <c r="G988" s="3">
        <v>2823.07</v>
      </c>
      <c r="H988" s="4">
        <v>11292.28</v>
      </c>
      <c r="I988" s="18">
        <f>WEEKDAY(Table1[[#This Row],[Date]],3)</f>
        <v>2</v>
      </c>
    </row>
    <row r="989" spans="1:9" x14ac:dyDescent="0.3">
      <c r="A989" s="1">
        <v>45310</v>
      </c>
      <c r="B989" t="s">
        <v>23</v>
      </c>
      <c r="C989" t="s">
        <v>9</v>
      </c>
      <c r="D989" t="s">
        <v>21</v>
      </c>
      <c r="E989" t="s">
        <v>16</v>
      </c>
      <c r="F989">
        <v>4</v>
      </c>
      <c r="G989" s="3">
        <v>1388.27</v>
      </c>
      <c r="H989" s="4">
        <v>5553.08</v>
      </c>
      <c r="I989" s="18">
        <f>WEEKDAY(Table1[[#This Row],[Date]],3)</f>
        <v>4</v>
      </c>
    </row>
    <row r="990" spans="1:9" x14ac:dyDescent="0.3">
      <c r="A990" s="1">
        <v>45485</v>
      </c>
      <c r="B990" t="s">
        <v>28</v>
      </c>
      <c r="C990" t="s">
        <v>13</v>
      </c>
      <c r="D990" t="s">
        <v>15</v>
      </c>
      <c r="E990" t="s">
        <v>22</v>
      </c>
      <c r="F990">
        <v>9</v>
      </c>
      <c r="G990" s="3">
        <v>807.5</v>
      </c>
      <c r="H990" s="4">
        <v>7267.5</v>
      </c>
      <c r="I990" s="18">
        <f>WEEKDAY(Table1[[#This Row],[Date]],3)</f>
        <v>4</v>
      </c>
    </row>
    <row r="991" spans="1:9" x14ac:dyDescent="0.3">
      <c r="A991" s="1">
        <v>45301</v>
      </c>
      <c r="B991" t="s">
        <v>29</v>
      </c>
      <c r="C991" t="s">
        <v>13</v>
      </c>
      <c r="D991" t="s">
        <v>21</v>
      </c>
      <c r="E991" t="s">
        <v>11</v>
      </c>
      <c r="F991">
        <v>8</v>
      </c>
      <c r="G991" s="3">
        <v>2711.76</v>
      </c>
      <c r="H991" s="4">
        <v>21694.080000000002</v>
      </c>
      <c r="I991" s="18">
        <f>WEEKDAY(Table1[[#This Row],[Date]],3)</f>
        <v>2</v>
      </c>
    </row>
    <row r="992" spans="1:9" x14ac:dyDescent="0.3">
      <c r="A992" s="1">
        <v>45522</v>
      </c>
      <c r="B992" t="s">
        <v>28</v>
      </c>
      <c r="C992" t="s">
        <v>24</v>
      </c>
      <c r="D992" t="s">
        <v>18</v>
      </c>
      <c r="E992" t="s">
        <v>26</v>
      </c>
      <c r="F992">
        <v>9</v>
      </c>
      <c r="G992" s="3">
        <v>728.24</v>
      </c>
      <c r="H992" s="4">
        <v>6554.16</v>
      </c>
      <c r="I992" s="18">
        <f>WEEKDAY(Table1[[#This Row],[Date]],3)</f>
        <v>6</v>
      </c>
    </row>
    <row r="993" spans="1:9" x14ac:dyDescent="0.3">
      <c r="A993" s="1">
        <v>45349</v>
      </c>
      <c r="B993" t="s">
        <v>20</v>
      </c>
      <c r="C993" t="s">
        <v>24</v>
      </c>
      <c r="D993" t="s">
        <v>10</v>
      </c>
      <c r="E993" t="s">
        <v>19</v>
      </c>
      <c r="F993">
        <v>8</v>
      </c>
      <c r="G993" s="3">
        <v>4785.0600000000004</v>
      </c>
      <c r="H993" s="4">
        <v>38280.480000000003</v>
      </c>
      <c r="I993" s="18">
        <f>WEEKDAY(Table1[[#This Row],[Date]],3)</f>
        <v>1</v>
      </c>
    </row>
    <row r="994" spans="1:9" x14ac:dyDescent="0.3">
      <c r="A994" s="1">
        <v>45354</v>
      </c>
      <c r="B994" t="s">
        <v>27</v>
      </c>
      <c r="C994" t="s">
        <v>24</v>
      </c>
      <c r="D994" t="s">
        <v>18</v>
      </c>
      <c r="E994" t="s">
        <v>16</v>
      </c>
      <c r="F994">
        <v>14</v>
      </c>
      <c r="G994" s="3">
        <v>852.56</v>
      </c>
      <c r="H994" s="4">
        <v>11935.84</v>
      </c>
      <c r="I994" s="18">
        <f>WEEKDAY(Table1[[#This Row],[Date]],3)</f>
        <v>6</v>
      </c>
    </row>
    <row r="995" spans="1:9" x14ac:dyDescent="0.3">
      <c r="A995" s="1">
        <v>45512</v>
      </c>
      <c r="B995" t="s">
        <v>25</v>
      </c>
      <c r="C995" t="s">
        <v>24</v>
      </c>
      <c r="D995" t="s">
        <v>21</v>
      </c>
      <c r="E995" t="s">
        <v>22</v>
      </c>
      <c r="F995">
        <v>6</v>
      </c>
      <c r="G995" s="3">
        <v>18679.79</v>
      </c>
      <c r="H995" s="4">
        <v>112078.74</v>
      </c>
      <c r="I995" s="18">
        <f>WEEKDAY(Table1[[#This Row],[Date]],3)</f>
        <v>3</v>
      </c>
    </row>
    <row r="996" spans="1:9" x14ac:dyDescent="0.3">
      <c r="A996" s="1">
        <v>45362</v>
      </c>
      <c r="B996" t="s">
        <v>12</v>
      </c>
      <c r="C996" t="s">
        <v>13</v>
      </c>
      <c r="D996" t="s">
        <v>18</v>
      </c>
      <c r="E996" t="s">
        <v>19</v>
      </c>
      <c r="F996">
        <v>16</v>
      </c>
      <c r="G996" s="3">
        <v>1149.51</v>
      </c>
      <c r="H996" s="4">
        <v>18392.16</v>
      </c>
      <c r="I996" s="18">
        <f>WEEKDAY(Table1[[#This Row],[Date]],3)</f>
        <v>0</v>
      </c>
    </row>
    <row r="997" spans="1:9" x14ac:dyDescent="0.3">
      <c r="A997" s="1">
        <v>45473</v>
      </c>
      <c r="B997" t="s">
        <v>20</v>
      </c>
      <c r="C997" t="s">
        <v>9</v>
      </c>
      <c r="D997" t="s">
        <v>21</v>
      </c>
      <c r="E997" t="s">
        <v>16</v>
      </c>
      <c r="F997">
        <v>18</v>
      </c>
      <c r="G997" s="3">
        <v>4472.99</v>
      </c>
      <c r="H997" s="4">
        <v>80513.820000000007</v>
      </c>
      <c r="I997" s="18">
        <f>WEEKDAY(Table1[[#This Row],[Date]],3)</f>
        <v>6</v>
      </c>
    </row>
    <row r="998" spans="1:9" x14ac:dyDescent="0.3">
      <c r="A998" s="1">
        <v>45348</v>
      </c>
      <c r="B998" t="s">
        <v>27</v>
      </c>
      <c r="C998" t="s">
        <v>9</v>
      </c>
      <c r="D998" t="s">
        <v>18</v>
      </c>
      <c r="E998" t="s">
        <v>16</v>
      </c>
      <c r="F998">
        <v>3</v>
      </c>
      <c r="G998" s="3">
        <v>953.88</v>
      </c>
      <c r="H998" s="4">
        <v>2861.64</v>
      </c>
      <c r="I998" s="18">
        <f>WEEKDAY(Table1[[#This Row],[Date]],3)</f>
        <v>0</v>
      </c>
    </row>
    <row r="999" spans="1:9" x14ac:dyDescent="0.3">
      <c r="A999" s="1">
        <v>45518</v>
      </c>
      <c r="B999" t="s">
        <v>20</v>
      </c>
      <c r="C999" t="s">
        <v>13</v>
      </c>
      <c r="D999" t="s">
        <v>18</v>
      </c>
      <c r="E999" t="s">
        <v>16</v>
      </c>
      <c r="F999">
        <v>6</v>
      </c>
      <c r="G999" s="3">
        <v>3691.7</v>
      </c>
      <c r="H999" s="4">
        <v>22150.2</v>
      </c>
      <c r="I999" s="18">
        <f>WEEKDAY(Table1[[#This Row],[Date]],3)</f>
        <v>2</v>
      </c>
    </row>
    <row r="1000" spans="1:9" x14ac:dyDescent="0.3">
      <c r="A1000" s="1">
        <v>45463</v>
      </c>
      <c r="B1000" t="s">
        <v>17</v>
      </c>
      <c r="C1000" t="s">
        <v>9</v>
      </c>
      <c r="D1000" t="s">
        <v>21</v>
      </c>
      <c r="E1000" t="s">
        <v>11</v>
      </c>
      <c r="F1000">
        <v>13</v>
      </c>
      <c r="G1000" s="3">
        <v>2270.79</v>
      </c>
      <c r="H1000" s="4">
        <v>29520.27</v>
      </c>
      <c r="I1000" s="18">
        <f>WEEKDAY(Table1[[#This Row],[Date]],3)</f>
        <v>3</v>
      </c>
    </row>
    <row r="1001" spans="1:9" x14ac:dyDescent="0.3">
      <c r="A1001" s="1">
        <v>45492</v>
      </c>
      <c r="B1001" t="s">
        <v>25</v>
      </c>
      <c r="C1001" t="s">
        <v>9</v>
      </c>
      <c r="D1001" t="s">
        <v>15</v>
      </c>
      <c r="E1001" t="s">
        <v>11</v>
      </c>
      <c r="F1001">
        <v>19</v>
      </c>
      <c r="G1001" s="3">
        <v>16617.34</v>
      </c>
      <c r="H1001" s="4">
        <v>315729.46000000002</v>
      </c>
      <c r="I1001" s="18">
        <f>WEEKDAY(Table1[[#This Row],[Date]],3)</f>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3"/>
  <sheetViews>
    <sheetView topLeftCell="A2" workbookViewId="0">
      <selection activeCell="F34" sqref="F34"/>
    </sheetView>
  </sheetViews>
  <sheetFormatPr defaultRowHeight="14.4" x14ac:dyDescent="0.3"/>
  <cols>
    <col min="1" max="1" width="11.6640625" bestFit="1" customWidth="1"/>
    <col min="2" max="2" width="13.77734375" customWidth="1"/>
    <col min="3" max="4" width="13.109375" customWidth="1"/>
    <col min="5" max="5" width="23.44140625" customWidth="1"/>
    <col min="6" max="6" width="13.44140625" customWidth="1"/>
    <col min="7" max="7" width="17.5546875" customWidth="1"/>
    <col min="8" max="8" width="13.77734375" bestFit="1" customWidth="1"/>
    <col min="9" max="9" width="15.5546875" bestFit="1" customWidth="1"/>
    <col min="10" max="10" width="23.44140625" bestFit="1" customWidth="1"/>
  </cols>
  <sheetData>
    <row r="3" spans="2:10" x14ac:dyDescent="0.3">
      <c r="B3" t="s">
        <v>40</v>
      </c>
      <c r="C3" t="s">
        <v>39</v>
      </c>
      <c r="D3" t="s">
        <v>41</v>
      </c>
      <c r="E3" t="s">
        <v>38</v>
      </c>
      <c r="H3" s="7" t="s">
        <v>42</v>
      </c>
      <c r="I3" t="s">
        <v>43</v>
      </c>
      <c r="J3" t="s">
        <v>44</v>
      </c>
    </row>
    <row r="4" spans="2:10" x14ac:dyDescent="0.3">
      <c r="B4" s="2">
        <v>9970</v>
      </c>
      <c r="C4" s="2">
        <v>1000</v>
      </c>
      <c r="D4" s="5">
        <v>32423279.979999971</v>
      </c>
      <c r="E4" s="5">
        <v>32423.27997999997</v>
      </c>
      <c r="H4" s="8" t="s">
        <v>27</v>
      </c>
      <c r="I4" s="2">
        <v>100</v>
      </c>
      <c r="J4">
        <f>COUNTA(H:H)-1</f>
        <v>10</v>
      </c>
    </row>
    <row r="5" spans="2:10" x14ac:dyDescent="0.3">
      <c r="H5" s="8" t="s">
        <v>20</v>
      </c>
      <c r="I5" s="2">
        <v>104</v>
      </c>
    </row>
    <row r="6" spans="2:10" x14ac:dyDescent="0.3">
      <c r="B6" t="str">
        <f>B3</f>
        <v xml:space="preserve">Quantity </v>
      </c>
      <c r="C6" t="str">
        <f t="shared" ref="C6:E7" si="0">C3</f>
        <v xml:space="preserve"> Product</v>
      </c>
      <c r="D6" t="str">
        <f t="shared" si="0"/>
        <v xml:space="preserve">Sales Amount </v>
      </c>
      <c r="E6" t="str">
        <f t="shared" si="0"/>
        <v>Average of Sales Amount2</v>
      </c>
      <c r="H6" s="8" t="s">
        <v>17</v>
      </c>
      <c r="I6" s="2">
        <v>117</v>
      </c>
    </row>
    <row r="7" spans="2:10" x14ac:dyDescent="0.3">
      <c r="B7" s="6">
        <f>B4</f>
        <v>9970</v>
      </c>
      <c r="C7" s="6">
        <f t="shared" si="0"/>
        <v>1000</v>
      </c>
      <c r="D7" s="5">
        <f t="shared" si="0"/>
        <v>32423279.979999971</v>
      </c>
      <c r="E7" s="5">
        <f t="shared" si="0"/>
        <v>32423.27997999997</v>
      </c>
      <c r="H7" s="8" t="s">
        <v>29</v>
      </c>
      <c r="I7" s="2">
        <v>95</v>
      </c>
    </row>
    <row r="8" spans="2:10" x14ac:dyDescent="0.3">
      <c r="H8" s="8" t="s">
        <v>8</v>
      </c>
      <c r="I8" s="2">
        <v>105</v>
      </c>
    </row>
    <row r="9" spans="2:10" x14ac:dyDescent="0.3">
      <c r="H9" s="8" t="s">
        <v>23</v>
      </c>
      <c r="I9" s="2">
        <v>94</v>
      </c>
    </row>
    <row r="10" spans="2:10" x14ac:dyDescent="0.3">
      <c r="H10" s="8" t="s">
        <v>25</v>
      </c>
      <c r="I10" s="2">
        <v>98</v>
      </c>
    </row>
    <row r="11" spans="2:10" x14ac:dyDescent="0.3">
      <c r="B11" s="7" t="s">
        <v>42</v>
      </c>
      <c r="C11" t="s">
        <v>41</v>
      </c>
      <c r="H11" s="8" t="s">
        <v>14</v>
      </c>
      <c r="I11" s="2">
        <v>95</v>
      </c>
    </row>
    <row r="12" spans="2:10" x14ac:dyDescent="0.3">
      <c r="B12" s="8" t="s">
        <v>25</v>
      </c>
      <c r="C12" s="9">
        <v>15608512.069999995</v>
      </c>
      <c r="H12" s="8" t="s">
        <v>28</v>
      </c>
      <c r="I12" s="2">
        <v>87</v>
      </c>
    </row>
    <row r="13" spans="2:10" x14ac:dyDescent="0.3">
      <c r="B13" s="8" t="s">
        <v>20</v>
      </c>
      <c r="C13" s="9">
        <v>4882611.54</v>
      </c>
      <c r="H13" s="8" t="s">
        <v>12</v>
      </c>
      <c r="I13" s="2">
        <v>105</v>
      </c>
    </row>
    <row r="14" spans="2:10" x14ac:dyDescent="0.3">
      <c r="B14" s="8" t="s">
        <v>29</v>
      </c>
      <c r="C14" s="9">
        <v>2998781.1099999989</v>
      </c>
    </row>
    <row r="15" spans="2:10" x14ac:dyDescent="0.3">
      <c r="B15" s="8" t="s">
        <v>17</v>
      </c>
      <c r="C15" s="9">
        <v>2922801.8200000008</v>
      </c>
    </row>
    <row r="16" spans="2:10" x14ac:dyDescent="0.3">
      <c r="B16" s="8" t="s">
        <v>23</v>
      </c>
      <c r="C16" s="9">
        <v>1441356.64</v>
      </c>
    </row>
    <row r="17" spans="1:9" x14ac:dyDescent="0.3">
      <c r="B17" s="8" t="s">
        <v>8</v>
      </c>
      <c r="C17" s="9">
        <v>1433399.3499999994</v>
      </c>
    </row>
    <row r="18" spans="1:9" x14ac:dyDescent="0.3">
      <c r="B18" s="8" t="s">
        <v>28</v>
      </c>
      <c r="C18" s="9">
        <v>894547.28000000014</v>
      </c>
    </row>
    <row r="19" spans="1:9" x14ac:dyDescent="0.3">
      <c r="B19" s="8" t="s">
        <v>12</v>
      </c>
      <c r="C19" s="9">
        <v>882343.83000000007</v>
      </c>
    </row>
    <row r="20" spans="1:9" x14ac:dyDescent="0.3">
      <c r="B20" s="8" t="s">
        <v>27</v>
      </c>
      <c r="C20" s="9">
        <v>799560.07</v>
      </c>
    </row>
    <row r="21" spans="1:9" x14ac:dyDescent="0.3">
      <c r="B21" s="8" t="s">
        <v>14</v>
      </c>
      <c r="C21" s="9">
        <v>559366.27000000014</v>
      </c>
    </row>
    <row r="23" spans="1:9" x14ac:dyDescent="0.3">
      <c r="A23" t="s">
        <v>51</v>
      </c>
      <c r="B23" t="str">
        <f t="shared" ref="B23:C33" si="1">B11</f>
        <v>Row Labels</v>
      </c>
      <c r="C23" t="str">
        <f t="shared" si="1"/>
        <v xml:space="preserve">Sales Amount </v>
      </c>
      <c r="D23" t="s">
        <v>50</v>
      </c>
      <c r="E23" t="s">
        <v>45</v>
      </c>
      <c r="G23" t="s">
        <v>46</v>
      </c>
      <c r="I23" t="s">
        <v>49</v>
      </c>
    </row>
    <row r="24" spans="1:9" x14ac:dyDescent="0.3">
      <c r="A24" s="5">
        <f>C24</f>
        <v>15608512.069999995</v>
      </c>
      <c r="B24" t="str">
        <f t="shared" si="1"/>
        <v>Rice (5kg)</v>
      </c>
      <c r="C24" s="11">
        <f t="shared" si="1"/>
        <v>15608512.069999995</v>
      </c>
      <c r="D24" s="11">
        <f>IF($E$24=C24,C24,IF(E$25=C24,C24," "))</f>
        <v>15608512.069999995</v>
      </c>
      <c r="E24">
        <f>LARGE($C$24:$C$33,F24)</f>
        <v>15608512.069999995</v>
      </c>
      <c r="F24">
        <v>1</v>
      </c>
      <c r="G24" t="str">
        <f>INDEX($B$24:$B$33,MATCH(E24,$C$24:$C$33,0))</f>
        <v>Rice (5kg)</v>
      </c>
      <c r="I24" t="str">
        <f>"Sales are highly concentrated in "&amp;G24&amp;" and "&amp;G25&amp;" , which accounts for "&amp;TEXT(F29,"0%")&amp; "Total sales across"&amp;  G26 &amp;" products."</f>
        <v>Sales are highly concentrated in Rice (5kg) and Chicken , which accounts for 63%Total sales across10 products.</v>
      </c>
    </row>
    <row r="25" spans="1:9" x14ac:dyDescent="0.3">
      <c r="A25" s="5">
        <f t="shared" ref="A25:A33" si="2">C25</f>
        <v>4882611.54</v>
      </c>
      <c r="B25" t="str">
        <f t="shared" si="1"/>
        <v>Chicken</v>
      </c>
      <c r="C25" s="11">
        <f t="shared" si="1"/>
        <v>4882611.54</v>
      </c>
      <c r="D25" s="11">
        <f>IF($E$24=C25,C25,IF(E$25=C25,C25," "))</f>
        <v>4882611.54</v>
      </c>
      <c r="E25">
        <f>LARGE($C$24:$C$33,F25)</f>
        <v>4882611.54</v>
      </c>
      <c r="F25">
        <v>2</v>
      </c>
      <c r="G25" t="str">
        <f>INDEX($B$24:$B$33,MATCH(E25,$C$24:$C$33,0))</f>
        <v>Chicken</v>
      </c>
    </row>
    <row r="26" spans="1:9" x14ac:dyDescent="0.3">
      <c r="A26" s="5">
        <f t="shared" si="2"/>
        <v>2998781.1099999989</v>
      </c>
      <c r="B26" t="str">
        <f t="shared" si="1"/>
        <v>Eggs (crate)</v>
      </c>
      <c r="C26" s="11">
        <f t="shared" si="1"/>
        <v>2998781.1099999989</v>
      </c>
      <c r="D26" s="11" t="str">
        <f t="shared" ref="D26:D33" si="3">IF($E$24=C26,C26,IF(E$25=C26,C26," "))</f>
        <v xml:space="preserve"> </v>
      </c>
      <c r="G26">
        <f>total_products</f>
        <v>10</v>
      </c>
    </row>
    <row r="27" spans="1:9" x14ac:dyDescent="0.3">
      <c r="A27" s="5">
        <f t="shared" si="2"/>
        <v>2922801.8200000008</v>
      </c>
      <c r="B27" t="str">
        <f t="shared" si="1"/>
        <v>Cooking Oil (1L)</v>
      </c>
      <c r="C27" s="11">
        <f t="shared" si="1"/>
        <v>2922801.8200000008</v>
      </c>
      <c r="D27" s="11" t="str">
        <f t="shared" si="3"/>
        <v xml:space="preserve"> </v>
      </c>
      <c r="E27" t="s">
        <v>47</v>
      </c>
      <c r="F27" s="5">
        <f>D7</f>
        <v>32423279.979999971</v>
      </c>
    </row>
    <row r="28" spans="1:9" x14ac:dyDescent="0.3">
      <c r="A28" s="5">
        <f t="shared" si="2"/>
        <v>1441356.64</v>
      </c>
      <c r="B28" t="str">
        <f t="shared" si="1"/>
        <v>Noodles Pack</v>
      </c>
      <c r="C28" s="11">
        <f t="shared" si="1"/>
        <v>1441356.64</v>
      </c>
      <c r="D28" s="11" t="str">
        <f t="shared" si="3"/>
        <v xml:space="preserve"> </v>
      </c>
    </row>
    <row r="29" spans="1:9" x14ac:dyDescent="0.3">
      <c r="A29" s="5">
        <f t="shared" si="2"/>
        <v>1433399.3499999994</v>
      </c>
      <c r="B29" t="str">
        <f t="shared" si="1"/>
        <v>Milk</v>
      </c>
      <c r="C29" s="11">
        <f t="shared" si="1"/>
        <v>1433399.3499999994</v>
      </c>
      <c r="D29" s="11" t="str">
        <f t="shared" si="3"/>
        <v xml:space="preserve"> </v>
      </c>
      <c r="E29" t="s">
        <v>48</v>
      </c>
      <c r="F29" s="10">
        <f>SUM(E24:E25)/SUM(C24:C33)</f>
        <v>0.63198799204274703</v>
      </c>
    </row>
    <row r="30" spans="1:9" x14ac:dyDescent="0.3">
      <c r="A30" s="5">
        <f t="shared" si="2"/>
        <v>894547.28000000014</v>
      </c>
      <c r="B30" t="str">
        <f t="shared" si="1"/>
        <v>Sugar</v>
      </c>
      <c r="C30" s="11">
        <f t="shared" si="1"/>
        <v>894547.28000000014</v>
      </c>
      <c r="D30" s="11" t="str">
        <f t="shared" si="3"/>
        <v xml:space="preserve"> </v>
      </c>
    </row>
    <row r="31" spans="1:9" x14ac:dyDescent="0.3">
      <c r="A31" s="5">
        <f t="shared" si="2"/>
        <v>882343.83000000007</v>
      </c>
      <c r="B31" t="str">
        <f t="shared" si="1"/>
        <v>Tomato Paste</v>
      </c>
      <c r="C31" s="11">
        <f t="shared" si="1"/>
        <v>882343.83000000007</v>
      </c>
      <c r="D31" s="11" t="str">
        <f t="shared" si="3"/>
        <v xml:space="preserve"> </v>
      </c>
    </row>
    <row r="32" spans="1:9" x14ac:dyDescent="0.3">
      <c r="A32" s="5">
        <f t="shared" si="2"/>
        <v>799560.07</v>
      </c>
      <c r="B32" t="str">
        <f t="shared" si="1"/>
        <v>Bread</v>
      </c>
      <c r="C32" s="11">
        <f t="shared" si="1"/>
        <v>799560.07</v>
      </c>
      <c r="D32" s="11" t="str">
        <f t="shared" si="3"/>
        <v xml:space="preserve"> </v>
      </c>
    </row>
    <row r="33" spans="1:4" x14ac:dyDescent="0.3">
      <c r="A33" s="5">
        <f t="shared" si="2"/>
        <v>559366.27000000014</v>
      </c>
      <c r="B33" t="str">
        <f t="shared" si="1"/>
        <v>Soft Drink</v>
      </c>
      <c r="C33" s="11">
        <f t="shared" si="1"/>
        <v>559366.27000000014</v>
      </c>
      <c r="D33" s="11" t="str">
        <f t="shared" si="3"/>
        <v xml:space="preserve"> </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0"/>
  <sheetViews>
    <sheetView topLeftCell="A6" workbookViewId="0">
      <selection activeCell="E11" sqref="E11:E15"/>
    </sheetView>
  </sheetViews>
  <sheetFormatPr defaultRowHeight="14.4" x14ac:dyDescent="0.3"/>
  <cols>
    <col min="1" max="1" width="12.109375" customWidth="1"/>
    <col min="2" max="2" width="19.109375" customWidth="1"/>
    <col min="3" max="3" width="14.33203125" customWidth="1"/>
    <col min="4" max="4" width="15.21875" customWidth="1"/>
    <col min="5" max="5" width="14.88671875" customWidth="1"/>
    <col min="6" max="6" width="21.44140625" customWidth="1"/>
    <col min="7" max="7" width="17" customWidth="1"/>
    <col min="9" max="9" width="10" bestFit="1" customWidth="1"/>
    <col min="10" max="10" width="29.77734375" customWidth="1"/>
    <col min="11" max="11" width="11.44140625" bestFit="1" customWidth="1"/>
  </cols>
  <sheetData>
    <row r="2" spans="1:11" x14ac:dyDescent="0.3">
      <c r="A2" s="7" t="s">
        <v>3</v>
      </c>
      <c r="B2" t="s">
        <v>53</v>
      </c>
      <c r="D2" t="str">
        <f t="shared" ref="D2:E6" si="0">A2</f>
        <v>Region</v>
      </c>
      <c r="E2" t="str">
        <f t="shared" si="0"/>
        <v>Other Sales</v>
      </c>
      <c r="F2" t="s">
        <v>52</v>
      </c>
      <c r="H2" t="s">
        <v>51</v>
      </c>
      <c r="J2" t="s">
        <v>54</v>
      </c>
    </row>
    <row r="3" spans="1:11" x14ac:dyDescent="0.3">
      <c r="A3" s="8" t="s">
        <v>21</v>
      </c>
      <c r="B3" s="2">
        <v>9639115.8800000027</v>
      </c>
      <c r="D3" t="str">
        <f t="shared" si="0"/>
        <v>Kano</v>
      </c>
      <c r="E3" s="5">
        <f t="shared" si="0"/>
        <v>9639115.8800000027</v>
      </c>
      <c r="F3" t="str">
        <f>IF(MIN($E$3:$E$6)=E3,E3,"")</f>
        <v/>
      </c>
      <c r="H3" s="5">
        <f>B3</f>
        <v>9639115.8800000027</v>
      </c>
      <c r="J3" t="s">
        <v>55</v>
      </c>
      <c r="K3" s="12">
        <f>MIN(B3:B6)</f>
        <v>7232939.6000000015</v>
      </c>
    </row>
    <row r="4" spans="1:11" x14ac:dyDescent="0.3">
      <c r="A4" s="8" t="s">
        <v>10</v>
      </c>
      <c r="B4" s="2">
        <v>7777902.0900000026</v>
      </c>
      <c r="D4" t="str">
        <f t="shared" si="0"/>
        <v>Port Harcourt</v>
      </c>
      <c r="E4" s="5">
        <f t="shared" si="0"/>
        <v>7777902.0900000026</v>
      </c>
      <c r="F4" t="str">
        <f>IF(MIN($E$3:$E$6)=E4,E4,"")</f>
        <v/>
      </c>
      <c r="H4" s="5">
        <f>B4</f>
        <v>7777902.0900000026</v>
      </c>
      <c r="J4" t="s">
        <v>58</v>
      </c>
      <c r="K4" t="str">
        <f>INDEX(A3:A6,MATCH(K3,B3:B6,0))</f>
        <v>Lagos</v>
      </c>
    </row>
    <row r="5" spans="1:11" x14ac:dyDescent="0.3">
      <c r="A5" s="8" t="s">
        <v>15</v>
      </c>
      <c r="B5" s="2">
        <v>7773322.4100000029</v>
      </c>
      <c r="D5" t="str">
        <f t="shared" si="0"/>
        <v>Abuja</v>
      </c>
      <c r="E5" s="5">
        <f t="shared" si="0"/>
        <v>7773322.4100000029</v>
      </c>
      <c r="F5" t="str">
        <f>IF(MIN($E$3:$E$6)=E5,E5,"")</f>
        <v/>
      </c>
      <c r="H5" s="5">
        <f>B5</f>
        <v>7773322.4100000029</v>
      </c>
      <c r="J5" t="s">
        <v>56</v>
      </c>
      <c r="K5">
        <f>SUM(B3:B6)</f>
        <v>32423279.980000012</v>
      </c>
    </row>
    <row r="6" spans="1:11" x14ac:dyDescent="0.3">
      <c r="A6" s="8" t="s">
        <v>18</v>
      </c>
      <c r="B6" s="2">
        <v>7232939.6000000015</v>
      </c>
      <c r="D6" t="str">
        <f t="shared" si="0"/>
        <v>Lagos</v>
      </c>
      <c r="E6" s="5">
        <f t="shared" si="0"/>
        <v>7232939.6000000015</v>
      </c>
      <c r="F6" s="5">
        <f>IF(MIN($E$3:$E$6)=E6,E6,"")</f>
        <v>7232939.6000000015</v>
      </c>
      <c r="H6" s="5">
        <f>B6</f>
        <v>7232939.6000000015</v>
      </c>
      <c r="J6" t="s">
        <v>57</v>
      </c>
      <c r="K6" s="14">
        <f>K3/K5</f>
        <v>0.22307859058249413</v>
      </c>
    </row>
    <row r="8" spans="1:11" x14ac:dyDescent="0.3">
      <c r="J8" t="str">
        <f>K4 &amp; " is the lowest performing region with " &amp; TEXT(K6,"0.0%") &amp; " contributed to the total revenue generated"</f>
        <v>Lagos is the lowest performing region with 22.3% contributed to the total revenue generated</v>
      </c>
    </row>
    <row r="9" spans="1:11" x14ac:dyDescent="0.3">
      <c r="A9" s="8" t="s">
        <v>59</v>
      </c>
    </row>
    <row r="10" spans="1:11" x14ac:dyDescent="0.3">
      <c r="A10" s="7" t="s">
        <v>4</v>
      </c>
      <c r="B10" t="s">
        <v>60</v>
      </c>
      <c r="C10" t="s">
        <v>51</v>
      </c>
      <c r="D10" t="str">
        <f t="shared" ref="D10:E15" si="1">A10</f>
        <v>Sales Rep</v>
      </c>
      <c r="E10" t="str">
        <f t="shared" si="1"/>
        <v xml:space="preserve"> Sales Amount    </v>
      </c>
      <c r="F10" t="s">
        <v>61</v>
      </c>
      <c r="G10" t="s">
        <v>62</v>
      </c>
      <c r="J10" t="s">
        <v>63</v>
      </c>
      <c r="K10">
        <f>MIN(B11:B15)</f>
        <v>5651598.1900000013</v>
      </c>
    </row>
    <row r="11" spans="1:11" x14ac:dyDescent="0.3">
      <c r="A11" s="8" t="s">
        <v>11</v>
      </c>
      <c r="B11" s="2">
        <v>8032607.6899999995</v>
      </c>
      <c r="C11" s="5">
        <f>E11</f>
        <v>8032607.6899999995</v>
      </c>
      <c r="D11" t="str">
        <f t="shared" si="1"/>
        <v>David</v>
      </c>
      <c r="E11" s="5">
        <f t="shared" si="1"/>
        <v>8032607.6899999995</v>
      </c>
      <c r="F11" s="5" t="str">
        <f>IF(MIN($E$11:$E$15)=E11,E11,"")</f>
        <v/>
      </c>
      <c r="G11" s="5">
        <f>IF(MAX($E$11:$E$15)=E11,E11,"")</f>
        <v>8032607.6899999995</v>
      </c>
      <c r="J11" t="s">
        <v>64</v>
      </c>
      <c r="K11">
        <f>MAX(B11:B15)</f>
        <v>8032607.6899999995</v>
      </c>
    </row>
    <row r="12" spans="1:11" x14ac:dyDescent="0.3">
      <c r="A12" s="8" t="s">
        <v>22</v>
      </c>
      <c r="B12" s="2">
        <v>6703634.1300000018</v>
      </c>
      <c r="C12" s="5">
        <f>E12</f>
        <v>6703634.1300000018</v>
      </c>
      <c r="D12" t="str">
        <f t="shared" si="1"/>
        <v>Amina</v>
      </c>
      <c r="E12" s="5">
        <f t="shared" si="1"/>
        <v>6703634.1300000018</v>
      </c>
      <c r="F12" s="5" t="str">
        <f>IF(MIN($E$11:$E$15)=E12,E12,"")</f>
        <v/>
      </c>
      <c r="G12" s="5" t="str">
        <f>IF(MAX($E$11:$E$15)=E12,E12,"")</f>
        <v/>
      </c>
      <c r="J12" t="s">
        <v>65</v>
      </c>
      <c r="K12">
        <f>SUM(B11:B15)</f>
        <v>32423279.98</v>
      </c>
    </row>
    <row r="13" spans="1:11" x14ac:dyDescent="0.3">
      <c r="A13" s="8" t="s">
        <v>26</v>
      </c>
      <c r="B13" s="2">
        <v>6381725.929999996</v>
      </c>
      <c r="C13" s="5">
        <f>E13</f>
        <v>6381725.929999996</v>
      </c>
      <c r="D13" t="str">
        <f t="shared" si="1"/>
        <v>John</v>
      </c>
      <c r="E13" s="5">
        <f t="shared" si="1"/>
        <v>6381725.929999996</v>
      </c>
      <c r="F13" s="5" t="str">
        <f>IF(MIN($E$11:$E$15)=E13,E13,"")</f>
        <v/>
      </c>
      <c r="G13" s="5" t="str">
        <f>IF(MAX($E$11:$E$15)=E13,E13,"")</f>
        <v/>
      </c>
      <c r="J13" t="s">
        <v>66</v>
      </c>
      <c r="K13" t="str">
        <f>INDEX(A11:A15,MATCH(K10,B11:B15,0))</f>
        <v>Ibrahim</v>
      </c>
    </row>
    <row r="14" spans="1:11" x14ac:dyDescent="0.3">
      <c r="A14" s="8" t="s">
        <v>19</v>
      </c>
      <c r="B14" s="2">
        <v>5653714.0400000028</v>
      </c>
      <c r="C14" s="5">
        <f>E14</f>
        <v>5653714.0400000028</v>
      </c>
      <c r="D14" t="str">
        <f t="shared" si="1"/>
        <v>Chioma</v>
      </c>
      <c r="E14" s="5">
        <f t="shared" si="1"/>
        <v>5653714.0400000028</v>
      </c>
      <c r="F14" s="5" t="str">
        <f>IF(MIN($E$11:$E$15)=E14,E14,"")</f>
        <v/>
      </c>
      <c r="G14" s="5" t="str">
        <f>IF(MAX($E$11:$E$15)=E14,E14,"")</f>
        <v/>
      </c>
      <c r="J14" t="s">
        <v>67</v>
      </c>
      <c r="K14" t="str">
        <f>INDEX(A11:A15,MATCH(K11,B11:B15,0))</f>
        <v>David</v>
      </c>
    </row>
    <row r="15" spans="1:11" x14ac:dyDescent="0.3">
      <c r="A15" s="8" t="s">
        <v>16</v>
      </c>
      <c r="B15" s="2">
        <v>5651598.1900000013</v>
      </c>
      <c r="C15" s="5">
        <f>E15</f>
        <v>5651598.1900000013</v>
      </c>
      <c r="D15" t="str">
        <f t="shared" si="1"/>
        <v>Ibrahim</v>
      </c>
      <c r="E15" s="5">
        <f t="shared" si="1"/>
        <v>5651598.1900000013</v>
      </c>
      <c r="F15" s="5">
        <f>IF(MIN($E$11:$E$15)=E15,E15,"")</f>
        <v>5651598.1900000013</v>
      </c>
      <c r="G15" s="5" t="str">
        <f>IF(MAX($E$11:$E$15)=E15,E15,"")</f>
        <v/>
      </c>
      <c r="J15" t="s">
        <v>68</v>
      </c>
      <c r="K15" s="13">
        <f>K10/K12</f>
        <v>0.17430680034487989</v>
      </c>
    </row>
    <row r="16" spans="1:11" x14ac:dyDescent="0.3">
      <c r="J16" t="s">
        <v>69</v>
      </c>
      <c r="K16" s="13">
        <f>K11/K12</f>
        <v>0.24774198338215131</v>
      </c>
    </row>
    <row r="18" spans="1:11" x14ac:dyDescent="0.3">
      <c r="J18" t="str">
        <f>K14&amp; " leads sales performance, contributing " &amp;TEXT(K16,"0.0%")&amp; " while " &amp;K13&amp; " is bottom of the list contributing only " &amp;TEXT(K15,"0.0%") &amp; " of the total revenue"</f>
        <v>David leads sales performance, contributing 24.8% while Ibrahim is bottom of the list contributing only 17.4% of the total revenue</v>
      </c>
    </row>
    <row r="19" spans="1:11" x14ac:dyDescent="0.3">
      <c r="A19" s="7" t="s">
        <v>82</v>
      </c>
      <c r="B19" t="s">
        <v>83</v>
      </c>
      <c r="D19" t="str">
        <f>A19</f>
        <v>Month</v>
      </c>
      <c r="E19" s="5" t="str">
        <f>B19</f>
        <v>Revenue Generated</v>
      </c>
      <c r="F19" s="5" t="s">
        <v>84</v>
      </c>
      <c r="G19" s="5" t="s">
        <v>85</v>
      </c>
    </row>
    <row r="20" spans="1:11" x14ac:dyDescent="0.3">
      <c r="A20" s="8" t="s">
        <v>70</v>
      </c>
      <c r="B20" s="2">
        <v>1855882.5999999996</v>
      </c>
      <c r="D20" t="str">
        <f t="shared" ref="D20:D31" si="2">A20</f>
        <v>Jan</v>
      </c>
      <c r="E20" s="16">
        <f t="shared" ref="E20:E31" si="3">B20</f>
        <v>1855882.5999999996</v>
      </c>
      <c r="F20" s="5" t="str">
        <f>IF(MAX($E$20:$E$31)=E20,E20,"")</f>
        <v/>
      </c>
      <c r="G20" s="5">
        <f>IF(MIN($E$20:$E$31)=E20,E20,"")</f>
        <v>1855882.5999999996</v>
      </c>
    </row>
    <row r="21" spans="1:11" x14ac:dyDescent="0.3">
      <c r="A21" s="8" t="s">
        <v>71</v>
      </c>
      <c r="B21" s="2">
        <v>2252704.8199999998</v>
      </c>
      <c r="D21" t="str">
        <f t="shared" si="2"/>
        <v>Feb</v>
      </c>
      <c r="E21" s="16">
        <f t="shared" si="3"/>
        <v>2252704.8199999998</v>
      </c>
      <c r="F21" s="5" t="str">
        <f t="shared" ref="F21:F31" si="4">IF(MAX($E$20:$E$31)=E21,E21,"")</f>
        <v/>
      </c>
      <c r="G21" s="5" t="str">
        <f t="shared" ref="G21:G31" si="5">IF(MIN($E$20:$E$31)=E21,E21,"")</f>
        <v/>
      </c>
      <c r="I21" s="15"/>
      <c r="J21" s="15" t="s">
        <v>86</v>
      </c>
      <c r="K21" s="17">
        <f>MIN(E20:E31)</f>
        <v>1855882.5999999996</v>
      </c>
    </row>
    <row r="22" spans="1:11" x14ac:dyDescent="0.3">
      <c r="A22" s="8" t="s">
        <v>72</v>
      </c>
      <c r="B22" s="2">
        <v>2749743.6399999997</v>
      </c>
      <c r="D22" t="str">
        <f t="shared" si="2"/>
        <v>Mar</v>
      </c>
      <c r="E22" s="16">
        <f t="shared" si="3"/>
        <v>2749743.6399999997</v>
      </c>
      <c r="F22" s="5" t="str">
        <f t="shared" si="4"/>
        <v/>
      </c>
      <c r="G22" s="5" t="str">
        <f t="shared" si="5"/>
        <v/>
      </c>
      <c r="J22" t="s">
        <v>87</v>
      </c>
      <c r="K22" s="17">
        <f>MAX(E20:E31)</f>
        <v>4301440.6499999994</v>
      </c>
    </row>
    <row r="23" spans="1:11" x14ac:dyDescent="0.3">
      <c r="A23" s="8" t="s">
        <v>73</v>
      </c>
      <c r="B23" s="2">
        <v>3570278.61</v>
      </c>
      <c r="D23" t="str">
        <f t="shared" si="2"/>
        <v>Apr</v>
      </c>
      <c r="E23" s="16">
        <f t="shared" si="3"/>
        <v>3570278.61</v>
      </c>
      <c r="F23" s="5" t="str">
        <f t="shared" si="4"/>
        <v/>
      </c>
      <c r="G23" s="5" t="str">
        <f t="shared" si="5"/>
        <v/>
      </c>
      <c r="J23" t="s">
        <v>88</v>
      </c>
      <c r="K23" s="17">
        <f>SUM(E20:E31)</f>
        <v>32423279.979999993</v>
      </c>
    </row>
    <row r="24" spans="1:11" x14ac:dyDescent="0.3">
      <c r="A24" s="8" t="s">
        <v>74</v>
      </c>
      <c r="B24" s="2">
        <v>2412453.2200000002</v>
      </c>
      <c r="D24" t="str">
        <f t="shared" si="2"/>
        <v>May</v>
      </c>
      <c r="E24" s="16">
        <f t="shared" si="3"/>
        <v>2412453.2200000002</v>
      </c>
      <c r="F24" s="5" t="str">
        <f t="shared" si="4"/>
        <v/>
      </c>
      <c r="G24" s="5" t="str">
        <f t="shared" si="5"/>
        <v/>
      </c>
      <c r="J24" t="s">
        <v>89</v>
      </c>
      <c r="K24" t="str">
        <f>INDEX(D20:D31,MATCH(K22,E20:E31,0))</f>
        <v>Aug</v>
      </c>
    </row>
    <row r="25" spans="1:11" x14ac:dyDescent="0.3">
      <c r="A25" s="8" t="s">
        <v>75</v>
      </c>
      <c r="B25" s="2">
        <v>2686881.93</v>
      </c>
      <c r="D25" t="str">
        <f t="shared" si="2"/>
        <v>Jun</v>
      </c>
      <c r="E25" s="16">
        <f t="shared" si="3"/>
        <v>2686881.93</v>
      </c>
      <c r="F25" s="5" t="str">
        <f t="shared" si="4"/>
        <v/>
      </c>
      <c r="G25" s="5" t="str">
        <f t="shared" si="5"/>
        <v/>
      </c>
      <c r="J25" t="s">
        <v>90</v>
      </c>
      <c r="K25" t="str">
        <f>INDEX(D20:D31,MATCH(K21,E20:E31,0))</f>
        <v>Jan</v>
      </c>
    </row>
    <row r="26" spans="1:11" x14ac:dyDescent="0.3">
      <c r="A26" s="8" t="s">
        <v>76</v>
      </c>
      <c r="B26" s="2">
        <v>2271345.2400000002</v>
      </c>
      <c r="D26" t="str">
        <f t="shared" si="2"/>
        <v>Jul</v>
      </c>
      <c r="E26" s="16">
        <f t="shared" si="3"/>
        <v>2271345.2400000002</v>
      </c>
      <c r="F26" s="5" t="str">
        <f t="shared" si="4"/>
        <v/>
      </c>
      <c r="G26" s="5" t="str">
        <f t="shared" si="5"/>
        <v/>
      </c>
      <c r="J26" t="s">
        <v>91</v>
      </c>
      <c r="K26" s="14">
        <f>K22/K23</f>
        <v>0.13266519157387235</v>
      </c>
    </row>
    <row r="27" spans="1:11" x14ac:dyDescent="0.3">
      <c r="A27" s="8" t="s">
        <v>77</v>
      </c>
      <c r="B27" s="2">
        <v>4301440.6499999994</v>
      </c>
      <c r="D27" t="str">
        <f t="shared" si="2"/>
        <v>Aug</v>
      </c>
      <c r="E27" s="16">
        <f t="shared" si="3"/>
        <v>4301440.6499999994</v>
      </c>
      <c r="F27" s="5">
        <f t="shared" si="4"/>
        <v>4301440.6499999994</v>
      </c>
      <c r="G27" s="5" t="str">
        <f t="shared" si="5"/>
        <v/>
      </c>
      <c r="J27" t="s">
        <v>92</v>
      </c>
      <c r="K27" s="14">
        <f>K21/K23</f>
        <v>5.723919977080616E-2</v>
      </c>
    </row>
    <row r="28" spans="1:11" x14ac:dyDescent="0.3">
      <c r="A28" s="8" t="s">
        <v>78</v>
      </c>
      <c r="B28" s="2">
        <v>2037453.45</v>
      </c>
      <c r="D28" t="str">
        <f t="shared" si="2"/>
        <v>Sep</v>
      </c>
      <c r="E28" s="16">
        <f t="shared" si="3"/>
        <v>2037453.45</v>
      </c>
      <c r="F28" s="5" t="str">
        <f t="shared" si="4"/>
        <v/>
      </c>
      <c r="G28" s="5" t="str">
        <f t="shared" si="5"/>
        <v/>
      </c>
    </row>
    <row r="29" spans="1:11" x14ac:dyDescent="0.3">
      <c r="A29" s="8" t="s">
        <v>79</v>
      </c>
      <c r="B29" s="2">
        <v>2701657.7699999986</v>
      </c>
      <c r="D29" t="str">
        <f t="shared" si="2"/>
        <v>Oct</v>
      </c>
      <c r="E29" s="16">
        <f t="shared" si="3"/>
        <v>2701657.7699999986</v>
      </c>
      <c r="F29" s="5" t="str">
        <f t="shared" si="4"/>
        <v/>
      </c>
      <c r="G29" s="5" t="str">
        <f t="shared" si="5"/>
        <v/>
      </c>
      <c r="J29" t="str">
        <f xml:space="preserve"> "Sales peaked in "&amp; K24&amp; " contributing the highest with"  &amp;TEXT(K26,"0.0%")&amp; " while " &amp;K25&amp; " has the lowest performance contributing with " &amp;TEXT(K27,"0.0%") &amp; " of the total revenue generated"</f>
        <v>Sales peaked in Aug contributing the highest with13.3% while Jan has the lowest performance contributing with 5.7% of the total revenue generated</v>
      </c>
    </row>
    <row r="30" spans="1:11" x14ac:dyDescent="0.3">
      <c r="A30" s="8" t="s">
        <v>80</v>
      </c>
      <c r="B30" s="2">
        <v>2972391.4</v>
      </c>
      <c r="D30" t="str">
        <f t="shared" si="2"/>
        <v>Nov</v>
      </c>
      <c r="E30" s="16">
        <f t="shared" si="3"/>
        <v>2972391.4</v>
      </c>
      <c r="F30" s="5" t="str">
        <f t="shared" si="4"/>
        <v/>
      </c>
      <c r="G30" s="5" t="str">
        <f t="shared" si="5"/>
        <v/>
      </c>
    </row>
    <row r="31" spans="1:11" x14ac:dyDescent="0.3">
      <c r="A31" s="8" t="s">
        <v>81</v>
      </c>
      <c r="B31" s="2">
        <v>2611046.649999999</v>
      </c>
      <c r="D31" t="str">
        <f t="shared" si="2"/>
        <v>Dec</v>
      </c>
      <c r="E31" s="16">
        <f t="shared" si="3"/>
        <v>2611046.649999999</v>
      </c>
      <c r="F31" s="5" t="str">
        <f t="shared" si="4"/>
        <v/>
      </c>
      <c r="G31" s="5" t="str">
        <f t="shared" si="5"/>
        <v/>
      </c>
    </row>
    <row r="35" spans="1:9" x14ac:dyDescent="0.3">
      <c r="A35" s="7" t="s">
        <v>94</v>
      </c>
      <c r="B35" t="s">
        <v>95</v>
      </c>
      <c r="C35" t="s">
        <v>51</v>
      </c>
      <c r="D35" t="str">
        <f>A35</f>
        <v>Days</v>
      </c>
      <c r="E35" s="20" t="str">
        <f>B35</f>
        <v xml:space="preserve">Sales Amount       </v>
      </c>
      <c r="F35" s="20" t="s">
        <v>96</v>
      </c>
      <c r="G35" t="s">
        <v>97</v>
      </c>
    </row>
    <row r="36" spans="1:9" x14ac:dyDescent="0.3">
      <c r="A36" s="19">
        <v>0</v>
      </c>
      <c r="B36" s="2">
        <v>4302077.2599999979</v>
      </c>
      <c r="C36" s="5">
        <v>4302077.2599999979</v>
      </c>
      <c r="D36" s="19">
        <f t="shared" ref="D36:D42" si="6">A36</f>
        <v>0</v>
      </c>
      <c r="E36" s="20">
        <f t="shared" ref="E36:E42" si="7">B36</f>
        <v>4302077.2599999979</v>
      </c>
      <c r="F36" s="20" t="str">
        <f>IF($I$36=E36,E36,IF($I$37=E36,E36,""))</f>
        <v/>
      </c>
      <c r="G36" t="str">
        <f>IF(MIN($E$36:$E$42)=E36,E36,"")</f>
        <v/>
      </c>
      <c r="H36">
        <v>1</v>
      </c>
      <c r="I36">
        <f>LARGE(E36:E42,H36)</f>
        <v>5639194.7300000023</v>
      </c>
    </row>
    <row r="37" spans="1:9" x14ac:dyDescent="0.3">
      <c r="A37" s="19">
        <v>1</v>
      </c>
      <c r="B37" s="2">
        <v>4863633.8899999978</v>
      </c>
      <c r="C37" s="5">
        <v>4863633.8899999978</v>
      </c>
      <c r="D37" s="19">
        <f t="shared" si="6"/>
        <v>1</v>
      </c>
      <c r="E37" s="20">
        <f t="shared" si="7"/>
        <v>4863633.8899999978</v>
      </c>
      <c r="F37" s="20" t="str">
        <f t="shared" ref="F37:F42" si="8">IF($I$36=E37,E37,IF($I$37=E37,E37,""))</f>
        <v/>
      </c>
      <c r="G37" t="str">
        <f t="shared" ref="G37:G42" si="9">IF(MIN($E$36:$E$42)=E37,E37,"")</f>
        <v/>
      </c>
      <c r="H37">
        <v>2</v>
      </c>
      <c r="I37">
        <f>LARGE(E36:E42,H37)</f>
        <v>5289674.8000000026</v>
      </c>
    </row>
    <row r="38" spans="1:9" x14ac:dyDescent="0.3">
      <c r="A38" s="19">
        <v>2</v>
      </c>
      <c r="B38" s="2">
        <v>3672563.32</v>
      </c>
      <c r="C38" s="5">
        <v>3672563.32</v>
      </c>
      <c r="D38" s="19">
        <f t="shared" si="6"/>
        <v>2</v>
      </c>
      <c r="E38" s="20">
        <f t="shared" si="7"/>
        <v>3672563.32</v>
      </c>
      <c r="F38" s="20" t="str">
        <f t="shared" si="8"/>
        <v/>
      </c>
      <c r="G38" s="21">
        <f t="shared" si="9"/>
        <v>3672563.32</v>
      </c>
    </row>
    <row r="39" spans="1:9" x14ac:dyDescent="0.3">
      <c r="A39" s="19">
        <v>3</v>
      </c>
      <c r="B39" s="2">
        <v>4386996.8899999997</v>
      </c>
      <c r="C39" s="5">
        <v>4386996.8899999997</v>
      </c>
      <c r="D39" s="19">
        <f t="shared" si="6"/>
        <v>3</v>
      </c>
      <c r="E39" s="20">
        <f t="shared" si="7"/>
        <v>4386996.8899999997</v>
      </c>
      <c r="F39" s="20" t="str">
        <f t="shared" si="8"/>
        <v/>
      </c>
      <c r="G39" t="str">
        <f t="shared" si="9"/>
        <v/>
      </c>
    </row>
    <row r="40" spans="1:9" x14ac:dyDescent="0.3">
      <c r="A40" s="19">
        <v>4</v>
      </c>
      <c r="B40" s="2">
        <v>4269139.0900000017</v>
      </c>
      <c r="C40" s="5">
        <v>4269139.0900000017</v>
      </c>
      <c r="D40" s="19">
        <f t="shared" si="6"/>
        <v>4</v>
      </c>
      <c r="E40" s="20">
        <f t="shared" si="7"/>
        <v>4269139.0900000017</v>
      </c>
      <c r="F40" s="20" t="str">
        <f t="shared" si="8"/>
        <v/>
      </c>
      <c r="G40" t="str">
        <f t="shared" si="9"/>
        <v/>
      </c>
    </row>
    <row r="41" spans="1:9" x14ac:dyDescent="0.3">
      <c r="A41" s="19">
        <v>5</v>
      </c>
      <c r="B41" s="2">
        <v>5289674.8000000026</v>
      </c>
      <c r="C41" s="5">
        <v>5289674.8000000026</v>
      </c>
      <c r="D41" s="19">
        <f t="shared" si="6"/>
        <v>5</v>
      </c>
      <c r="E41" s="20">
        <f t="shared" si="7"/>
        <v>5289674.8000000026</v>
      </c>
      <c r="F41" s="20">
        <f t="shared" si="8"/>
        <v>5289674.8000000026</v>
      </c>
      <c r="G41" t="str">
        <f t="shared" si="9"/>
        <v/>
      </c>
    </row>
    <row r="42" spans="1:9" x14ac:dyDescent="0.3">
      <c r="A42" s="19">
        <v>6</v>
      </c>
      <c r="B42" s="2">
        <v>5639194.7300000023</v>
      </c>
      <c r="C42" s="5">
        <v>5639194.7300000023</v>
      </c>
      <c r="D42" s="19">
        <f t="shared" si="6"/>
        <v>6</v>
      </c>
      <c r="E42" s="20">
        <f t="shared" si="7"/>
        <v>5639194.7300000023</v>
      </c>
      <c r="F42" s="20">
        <f t="shared" si="8"/>
        <v>5639194.7300000023</v>
      </c>
      <c r="G42" t="str">
        <f t="shared" si="9"/>
        <v/>
      </c>
    </row>
    <row r="43" spans="1:9" x14ac:dyDescent="0.3">
      <c r="D43" s="19"/>
    </row>
    <row r="44" spans="1:9" x14ac:dyDescent="0.3">
      <c r="D44" s="19"/>
    </row>
    <row r="45" spans="1:9" x14ac:dyDescent="0.3">
      <c r="D45" s="19"/>
    </row>
    <row r="46" spans="1:9" x14ac:dyDescent="0.3">
      <c r="A46" s="7" t="s">
        <v>3</v>
      </c>
      <c r="B46" t="s">
        <v>98</v>
      </c>
      <c r="D46" t="str">
        <f t="shared" ref="D46:E50" si="10">A46</f>
        <v>Region</v>
      </c>
      <c r="E46" t="str">
        <f t="shared" si="10"/>
        <v xml:space="preserve">Revenue Generated   </v>
      </c>
      <c r="F46" t="s">
        <v>65</v>
      </c>
      <c r="G46">
        <f>SUM(E47:E50)</f>
        <v>32423279.980000012</v>
      </c>
    </row>
    <row r="47" spans="1:9" x14ac:dyDescent="0.3">
      <c r="A47" s="8" t="s">
        <v>15</v>
      </c>
      <c r="B47" s="2">
        <v>7773322.4100000029</v>
      </c>
      <c r="D47" t="str">
        <f t="shared" si="10"/>
        <v>Abuja</v>
      </c>
      <c r="E47">
        <f t="shared" si="10"/>
        <v>7773322.4100000029</v>
      </c>
      <c r="F47" t="s">
        <v>99</v>
      </c>
      <c r="G47">
        <f>MAX(E47:E50)</f>
        <v>9639115.8800000027</v>
      </c>
      <c r="H47" s="14">
        <f>G47/G46</f>
        <v>0.29728996837907201</v>
      </c>
      <c r="I47" t="str">
        <f>INDEX(D47:D50,MATCH(G47,E47:E50,0))</f>
        <v>Kano</v>
      </c>
    </row>
    <row r="48" spans="1:9" x14ac:dyDescent="0.3">
      <c r="A48" s="8" t="s">
        <v>21</v>
      </c>
      <c r="B48" s="2">
        <v>9639115.8800000027</v>
      </c>
      <c r="D48" t="str">
        <f t="shared" si="10"/>
        <v>Kano</v>
      </c>
      <c r="E48">
        <f t="shared" si="10"/>
        <v>9639115.8800000027</v>
      </c>
      <c r="F48" t="s">
        <v>100</v>
      </c>
      <c r="G48">
        <f>MIN(E47:E50)</f>
        <v>7232939.6000000015</v>
      </c>
      <c r="H48" s="14">
        <f>G48/G46</f>
        <v>0.22307859058249413</v>
      </c>
      <c r="I48" t="str">
        <f>INDEX(D47:D50,MATCH(G48,E47:E50,0))</f>
        <v>Lagos</v>
      </c>
    </row>
    <row r="49" spans="1:5" x14ac:dyDescent="0.3">
      <c r="A49" s="8" t="s">
        <v>18</v>
      </c>
      <c r="B49" s="2">
        <v>7232939.6000000015</v>
      </c>
      <c r="D49" t="str">
        <f t="shared" si="10"/>
        <v>Lagos</v>
      </c>
      <c r="E49">
        <f t="shared" si="10"/>
        <v>7232939.6000000015</v>
      </c>
    </row>
    <row r="50" spans="1:5" x14ac:dyDescent="0.3">
      <c r="A50" s="8" t="s">
        <v>10</v>
      </c>
      <c r="B50" s="2">
        <v>7777902.0900000026</v>
      </c>
      <c r="D50" t="str">
        <f t="shared" si="10"/>
        <v>Port Harcourt</v>
      </c>
      <c r="E50">
        <f t="shared" si="10"/>
        <v>7777902.0900000026</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0:J17"/>
  <sheetViews>
    <sheetView workbookViewId="0">
      <selection activeCell="J19" sqref="J19"/>
    </sheetView>
  </sheetViews>
  <sheetFormatPr defaultRowHeight="14.4" x14ac:dyDescent="0.3"/>
  <sheetData>
    <row r="10" spans="9:10" x14ac:dyDescent="0.3">
      <c r="I10">
        <v>0</v>
      </c>
      <c r="J10" t="s">
        <v>37</v>
      </c>
    </row>
    <row r="11" spans="9:10" x14ac:dyDescent="0.3">
      <c r="I11">
        <v>1</v>
      </c>
      <c r="J11" t="s">
        <v>30</v>
      </c>
    </row>
    <row r="12" spans="9:10" x14ac:dyDescent="0.3">
      <c r="I12">
        <v>2</v>
      </c>
      <c r="J12" t="s">
        <v>31</v>
      </c>
    </row>
    <row r="13" spans="9:10" x14ac:dyDescent="0.3">
      <c r="I13">
        <v>3</v>
      </c>
      <c r="J13" t="s">
        <v>32</v>
      </c>
    </row>
    <row r="14" spans="9:10" x14ac:dyDescent="0.3">
      <c r="I14">
        <v>4</v>
      </c>
      <c r="J14" t="s">
        <v>33</v>
      </c>
    </row>
    <row r="15" spans="9:10" x14ac:dyDescent="0.3">
      <c r="I15">
        <v>5</v>
      </c>
      <c r="J15" t="s">
        <v>34</v>
      </c>
    </row>
    <row r="16" spans="9:10" x14ac:dyDescent="0.3">
      <c r="I16">
        <v>6</v>
      </c>
      <c r="J16" t="s">
        <v>35</v>
      </c>
    </row>
    <row r="17" spans="9:10" x14ac:dyDescent="0.3">
      <c r="I17">
        <v>7</v>
      </c>
      <c r="J17" t="s">
        <v>36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3"/>
  <sheetViews>
    <sheetView showGridLines="0" tabSelected="1" zoomScale="74" workbookViewId="0">
      <selection activeCell="N2" sqref="N2"/>
    </sheetView>
  </sheetViews>
  <sheetFormatPr defaultRowHeight="14.4" x14ac:dyDescent="0.3"/>
  <sheetData>
    <row r="3" spans="13:13" x14ac:dyDescent="0.3">
      <c r="M3"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retail_sales_Dashboard</vt:lpstr>
      <vt:lpstr>Analysis</vt:lpstr>
      <vt:lpstr>Analysis 2</vt:lpstr>
      <vt:lpstr>Color and Business quesition</vt:lpstr>
      <vt:lpstr>Dashboard</vt:lpstr>
      <vt:lpstr>total_products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Untop</dc:creator>
  <cp:lastModifiedBy>ADMIN</cp:lastModifiedBy>
  <dcterms:created xsi:type="dcterms:W3CDTF">2026-03-26T16:58:23Z</dcterms:created>
  <dcterms:modified xsi:type="dcterms:W3CDTF">2026-05-15T15:37:34Z</dcterms:modified>
</cp:coreProperties>
</file>